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reference_data/instruments/"/>
    </mc:Choice>
  </mc:AlternateContent>
  <xr:revisionPtr revIDLastSave="11" documentId="8_{A2A1F6BE-C33E-4BD5-880D-640C2304F4A9}" xr6:coauthVersionLast="47" xr6:coauthVersionMax="47" xr10:uidLastSave="{2B127C07-A46F-4665-882E-10D915AF0010}"/>
  <bookViews>
    <workbookView xWindow="38280" yWindow="-120" windowWidth="29040" windowHeight="17520" xr2:uid="{6A5695E8-C4FF-4412-8B74-C1EE0AA69659}"/>
  </bookViews>
  <sheets>
    <sheet name="INSTRU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H38" i="1"/>
  <c r="H39" i="1"/>
  <c r="H40" i="1"/>
  <c r="H41" i="1"/>
  <c r="H42" i="1"/>
  <c r="H35" i="1"/>
  <c r="G35" i="1" a="1"/>
  <c r="G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<sst xmlns="http://schemas.openxmlformats.org/spreadsheetml/2006/main" count="341" uniqueCount="130">
  <si>
    <t>isin</t>
  </si>
  <si>
    <t>name</t>
  </si>
  <si>
    <t>instrument_group_code</t>
  </si>
  <si>
    <t>instrument_type_code</t>
  </si>
  <si>
    <t>currency</t>
  </si>
  <si>
    <t>issuer_code</t>
  </si>
  <si>
    <t>country</t>
  </si>
  <si>
    <t>maturity_date</t>
  </si>
  <si>
    <t>coupon_rate</t>
  </si>
  <si>
    <t>valuation_method</t>
  </si>
  <si>
    <t>BOND</t>
  </si>
  <si>
    <t>XAF</t>
  </si>
  <si>
    <t>CM</t>
  </si>
  <si>
    <t>MARK_TO_MARKET</t>
  </si>
  <si>
    <t>ticker</t>
  </si>
  <si>
    <t>CG</t>
  </si>
  <si>
    <t>GA</t>
  </si>
  <si>
    <t>ETAT DU CONGO</t>
  </si>
  <si>
    <t>EOCG 6.25% NET 2021-2026</t>
  </si>
  <si>
    <t>CG0000020238</t>
  </si>
  <si>
    <t>ETAT DU GABON</t>
  </si>
  <si>
    <t>EOG 6.00% NET 2021-2026</t>
  </si>
  <si>
    <t>GA0000020248</t>
  </si>
  <si>
    <t>EGA06</t>
  </si>
  <si>
    <t>ETAT DU CAMEROUN</t>
  </si>
  <si>
    <t>ECMR 6.25% NET 2022-2029</t>
  </si>
  <si>
    <t>CM0000020305</t>
  </si>
  <si>
    <t>ECMR6</t>
  </si>
  <si>
    <t>EOG 6.25% NET 2022-2028</t>
  </si>
  <si>
    <t>GA0000020313</t>
  </si>
  <si>
    <t>EGA07</t>
  </si>
  <si>
    <t>ETAT DU TCHAD</t>
  </si>
  <si>
    <t>EOTO 6.5% NET 2022-2027</t>
  </si>
  <si>
    <t>TD0000020331</t>
  </si>
  <si>
    <t>ECMR 5.8% NET 2023-2026</t>
  </si>
  <si>
    <t>CM0000020354</t>
  </si>
  <si>
    <t>ECMR7</t>
  </si>
  <si>
    <t>ECMR 6.00% NET 2023-2027</t>
  </si>
  <si>
    <t>CM0000020362</t>
  </si>
  <si>
    <t>ECMR8</t>
  </si>
  <si>
    <t>ECMR 6.75% NET 2023-2029</t>
  </si>
  <si>
    <t>CM0000020370</t>
  </si>
  <si>
    <t>ECMR9</t>
  </si>
  <si>
    <t>ECMR 7.25% NET 2023-2031</t>
  </si>
  <si>
    <t>CM0000020388</t>
  </si>
  <si>
    <t>ECM10</t>
  </si>
  <si>
    <t>EOG 6.25% NET 2023-2028</t>
  </si>
  <si>
    <t>GA0000020396</t>
  </si>
  <si>
    <t>EGA08</t>
  </si>
  <si>
    <t>EOG 6% NET 2024-2027</t>
  </si>
  <si>
    <t>GA0000020487</t>
  </si>
  <si>
    <t>EGA09</t>
  </si>
  <si>
    <t>EOG 6,5% NET 2024-2029</t>
  </si>
  <si>
    <t>GA0000020495</t>
  </si>
  <si>
    <t>EGA10</t>
  </si>
  <si>
    <t>EOG 7,5% NET 2024-2031</t>
  </si>
  <si>
    <t>GA0000020503</t>
  </si>
  <si>
    <t>EGA11</t>
  </si>
  <si>
    <t>EOG MT 6,60% NET 2024-2027</t>
  </si>
  <si>
    <t>GA0000020511</t>
  </si>
  <si>
    <t>EGA12</t>
  </si>
  <si>
    <t>EOG MT 6,75% NET 2024-2028</t>
  </si>
  <si>
    <t>GA0000020529</t>
  </si>
  <si>
    <t>EGA13</t>
  </si>
  <si>
    <t>EOG MT 7% NET 2024-2030</t>
  </si>
  <si>
    <t>GA0000020537</t>
  </si>
  <si>
    <t>EGA14</t>
  </si>
  <si>
    <t>EOG MT 6,6% NET 2024-2027-II</t>
  </si>
  <si>
    <t>GA0000020552</t>
  </si>
  <si>
    <t>EGA15</t>
  </si>
  <si>
    <t>EOG MT 6,75% NET 2024-2028-II</t>
  </si>
  <si>
    <t>GA0000020560</t>
  </si>
  <si>
    <t>EGA16</t>
  </si>
  <si>
    <t>EOG MT 7,00% NET 2024-2030-II</t>
  </si>
  <si>
    <t>GA0000020578</t>
  </si>
  <si>
    <t>EGA17</t>
  </si>
  <si>
    <t>BDEAC</t>
  </si>
  <si>
    <t>BDEAC 5.45% NET 2020-2027</t>
  </si>
  <si>
    <t>CG0000020220</t>
  </si>
  <si>
    <t>EBD01</t>
  </si>
  <si>
    <t>BDEAC 5.6% NET 2021-2028</t>
  </si>
  <si>
    <t>CG0000020261</t>
  </si>
  <si>
    <t>EBD02</t>
  </si>
  <si>
    <t>BDEAC 6% NET 2022-2029</t>
  </si>
  <si>
    <t>CG0000020329</t>
  </si>
  <si>
    <t>EBD03</t>
  </si>
  <si>
    <t>BDEAC 6.20% NET 2024-2031</t>
  </si>
  <si>
    <t>CG0000020469</t>
  </si>
  <si>
    <t>EBD04</t>
  </si>
  <si>
    <t>BDEAC 5.95% NET 2024-2029</t>
  </si>
  <si>
    <t>CG0000020436</t>
  </si>
  <si>
    <t>EBD05</t>
  </si>
  <si>
    <t>BDEAC 4.70% NET 2024-2027</t>
  </si>
  <si>
    <t>CG0000020444</t>
  </si>
  <si>
    <t>EBD06</t>
  </si>
  <si>
    <t>ALIOS FINANCE</t>
  </si>
  <si>
    <t>ALIOS 6.5% BRUT 2023-2028</t>
  </si>
  <si>
    <t>CM0000020412</t>
  </si>
  <si>
    <t>AFC03</t>
  </si>
  <si>
    <t>ALIOS 6.00% BRUT 2023-2026</t>
  </si>
  <si>
    <t>CM0000020404</t>
  </si>
  <si>
    <t>AFC04</t>
  </si>
  <si>
    <t>ACEP CAMEROUN</t>
  </si>
  <si>
    <t>ACEP 7% BRUT 2024-2027</t>
  </si>
  <si>
    <t>CM0000020545</t>
  </si>
  <si>
    <t>ACEP1</t>
  </si>
  <si>
    <t>SNPC</t>
  </si>
  <si>
    <t>SNPC 6.5% NET 2024-2029</t>
  </si>
  <si>
    <t>CG0000020584</t>
  </si>
  <si>
    <t>SNPC1</t>
  </si>
  <si>
    <t>fund_category</t>
  </si>
  <si>
    <t>GOVERNMENT_BOND</t>
  </si>
  <si>
    <t>REGIONAL_BOND</t>
  </si>
  <si>
    <t>CORPORATE_BOND</t>
  </si>
  <si>
    <t>TD</t>
  </si>
  <si>
    <t>ECGO2</t>
  </si>
  <si>
    <t>ETD01</t>
  </si>
  <si>
    <t>fund_launch_date</t>
  </si>
  <si>
    <t>10 000</t>
  </si>
  <si>
    <t>Amortizing</t>
  </si>
  <si>
    <t>Bullet</t>
  </si>
  <si>
    <t>first_listing_date</t>
  </si>
  <si>
    <t>original_offering_amount</t>
  </si>
  <si>
    <t>last_coupon_date</t>
  </si>
  <si>
    <t>next_coupon_date</t>
  </si>
  <si>
    <t>units_outstanding</t>
  </si>
  <si>
    <t>amortization_method</t>
  </si>
  <si>
    <t>coupon_frequency</t>
  </si>
  <si>
    <t>face_value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</si>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</sst>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DBF0-134C-4DE1-ADE1-F96B82AAA309}">
  <dimension ref="A1:V42"/>
  <sheetViews>
    <sheetView tabSelected="1" topLeftCell="A7" workbookViewId="0">
      <selection activeCell="G35" sqref="G35:H42"/>
    </sheetView>
  </sheetViews>
  <sheetFormatPr defaultRowHeight="14.5" x14ac:dyDescent="0.35"/>
  <cols>
    <col min="1" max="1" width="13.6328125" bestFit="1" customWidth="1"/>
    <col min="2" max="2" width="27.36328125" bestFit="1" customWidth="1"/>
    <col min="3" max="3" width="6.7265625" bestFit="1" customWidth="1"/>
    <col min="4" max="4" width="21.08984375" bestFit="1" customWidth="1"/>
    <col min="5" max="5" width="19.453125" bestFit="1" customWidth="1"/>
    <col min="6" max="6" width="8.1796875" bestFit="1" customWidth="1"/>
    <col min="7" max="7" width="18.08984375" bestFit="1" customWidth="1"/>
    <col min="8" max="8" width="7.1796875" customWidth="1"/>
    <col min="9" max="9" width="12.54296875" bestFit="1" customWidth="1"/>
    <col min="10" max="10" width="11.453125" bestFit="1" customWidth="1"/>
    <col min="11" max="11" width="16.6328125" bestFit="1" customWidth="1"/>
    <col min="12" max="12" width="12.81640625" bestFit="1" customWidth="1"/>
    <col min="13" max="13" width="16.08984375" bestFit="1" customWidth="1"/>
    <col min="14" max="14" width="14.81640625" bestFit="1" customWidth="1"/>
    <col min="15" max="15" width="22.1796875" bestFit="1" customWidth="1"/>
    <col min="16" max="16" width="16.1796875" bestFit="1" customWidth="1"/>
    <col min="17" max="17" width="10.6328125" bestFit="1" customWidth="1"/>
    <col min="19" max="19" width="19.1796875" bestFit="1" customWidth="1"/>
    <col min="20" max="20" width="16.6328125" bestFit="1" customWidth="1"/>
    <col min="21" max="21" width="15.90625" bestFit="1" customWidth="1"/>
    <col min="22" max="22" width="16.1796875" bestFit="1" customWidth="1"/>
  </cols>
  <sheetData>
    <row r="1" spans="1:22" x14ac:dyDescent="0.3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110</v>
      </c>
      <c r="M1" t="s">
        <v>117</v>
      </c>
      <c r="N1" t="s">
        <v>121</v>
      </c>
      <c r="O1" t="s">
        <v>122</v>
      </c>
      <c r="P1" t="s">
        <v>125</v>
      </c>
      <c r="Q1" t="s">
        <v>128</v>
      </c>
      <c r="R1" t="s">
        <v>129</v>
      </c>
      <c r="S1" t="s">
        <v>126</v>
      </c>
      <c r="T1" t="s">
        <v>127</v>
      </c>
      <c r="U1" t="s">
        <v>123</v>
      </c>
      <c r="V1" t="s">
        <v>124</v>
      </c>
    </row>
    <row r="2" spans="1:22" x14ac:dyDescent="0.35">
      <c r="A2" t="s">
        <v>19</v>
      </c>
      <c r="B2" t="s">
        <v>18</v>
      </c>
      <c r="C2" t="s">
        <v>115</v>
      </c>
      <c r="D2" t="s">
        <v>10</v>
      </c>
      <c r="E2" t="s">
        <v>111</v>
      </c>
      <c r="F2" t="s">
        <v>11</v>
      </c>
      <c r="G2" t="s">
        <v>17</v>
      </c>
      <c r="H2" t="s">
        <v>15</v>
      </c>
      <c r="J2">
        <v>6.25</v>
      </c>
      <c r="K2" t="s">
        <v>13</v>
      </c>
      <c r="N2" s="1">
        <v>44407</v>
      </c>
      <c r="O2" s="2">
        <v>113230000000</v>
      </c>
      <c r="P2">
        <v>11323000</v>
      </c>
      <c r="Q2" t="s">
        <v>118</v>
      </c>
      <c r="R2">
        <v>5</v>
      </c>
      <c r="S2" t="s">
        <v>119</v>
      </c>
      <c r="T2">
        <v>1</v>
      </c>
      <c r="U2" s="1">
        <v>45738</v>
      </c>
      <c r="V2" s="1">
        <v>46103</v>
      </c>
    </row>
    <row r="3" spans="1:22" x14ac:dyDescent="0.35">
      <c r="A3" t="s">
        <v>22</v>
      </c>
      <c r="B3" t="s">
        <v>21</v>
      </c>
      <c r="C3" t="s">
        <v>23</v>
      </c>
      <c r="D3" t="s">
        <v>10</v>
      </c>
      <c r="E3" t="s">
        <v>111</v>
      </c>
      <c r="F3" t="s">
        <v>11</v>
      </c>
      <c r="G3" t="s">
        <v>20</v>
      </c>
      <c r="H3" t="s">
        <v>16</v>
      </c>
      <c r="J3">
        <v>6</v>
      </c>
      <c r="K3" t="s">
        <v>13</v>
      </c>
      <c r="N3" s="1">
        <v>44407</v>
      </c>
      <c r="O3" s="2">
        <v>188827750000</v>
      </c>
      <c r="P3">
        <v>18882775</v>
      </c>
      <c r="Q3" t="s">
        <v>118</v>
      </c>
      <c r="R3">
        <v>5</v>
      </c>
      <c r="S3" t="s">
        <v>119</v>
      </c>
      <c r="T3">
        <v>1</v>
      </c>
      <c r="U3" s="1">
        <v>45812</v>
      </c>
      <c r="V3" s="1">
        <v>46177</v>
      </c>
    </row>
    <row r="4" spans="1:22" x14ac:dyDescent="0.35">
      <c r="A4" t="s">
        <v>26</v>
      </c>
      <c r="B4" t="s">
        <v>25</v>
      </c>
      <c r="C4" t="s">
        <v>27</v>
      </c>
      <c r="D4" t="s">
        <v>10</v>
      </c>
      <c r="E4" t="s">
        <v>111</v>
      </c>
      <c r="F4" t="s">
        <v>11</v>
      </c>
      <c r="G4" t="s">
        <v>24</v>
      </c>
      <c r="H4" t="s">
        <v>12</v>
      </c>
      <c r="J4">
        <v>6.25</v>
      </c>
      <c r="K4" t="s">
        <v>13</v>
      </c>
      <c r="N4" s="1">
        <v>44832</v>
      </c>
      <c r="O4" s="2">
        <v>235000000000</v>
      </c>
      <c r="P4">
        <v>23500000</v>
      </c>
      <c r="Q4" t="s">
        <v>118</v>
      </c>
      <c r="R4">
        <v>7</v>
      </c>
      <c r="S4" t="s">
        <v>119</v>
      </c>
      <c r="T4">
        <v>1</v>
      </c>
      <c r="U4" s="1">
        <v>45804</v>
      </c>
      <c r="V4" s="1">
        <v>46169</v>
      </c>
    </row>
    <row r="5" spans="1:22" x14ac:dyDescent="0.35">
      <c r="A5" t="s">
        <v>29</v>
      </c>
      <c r="B5" t="s">
        <v>28</v>
      </c>
      <c r="C5" t="s">
        <v>30</v>
      </c>
      <c r="D5" t="s">
        <v>10</v>
      </c>
      <c r="E5" t="s">
        <v>111</v>
      </c>
      <c r="F5" t="s">
        <v>11</v>
      </c>
      <c r="G5" t="s">
        <v>20</v>
      </c>
      <c r="H5" t="s">
        <v>16</v>
      </c>
      <c r="J5">
        <v>6.25</v>
      </c>
      <c r="K5" t="s">
        <v>13</v>
      </c>
      <c r="N5" s="1">
        <v>44952</v>
      </c>
      <c r="O5" s="2">
        <v>175000000000</v>
      </c>
      <c r="P5">
        <v>17500000</v>
      </c>
      <c r="Q5" t="s">
        <v>118</v>
      </c>
      <c r="R5">
        <v>6</v>
      </c>
      <c r="S5" t="s">
        <v>119</v>
      </c>
      <c r="T5">
        <v>1</v>
      </c>
      <c r="U5" s="1">
        <v>45962</v>
      </c>
      <c r="V5" s="1">
        <v>46327</v>
      </c>
    </row>
    <row r="6" spans="1:22" x14ac:dyDescent="0.35">
      <c r="A6" t="s">
        <v>33</v>
      </c>
      <c r="B6" t="s">
        <v>32</v>
      </c>
      <c r="C6" t="s">
        <v>116</v>
      </c>
      <c r="D6" t="s">
        <v>10</v>
      </c>
      <c r="E6" t="s">
        <v>111</v>
      </c>
      <c r="F6" t="s">
        <v>11</v>
      </c>
      <c r="G6" t="s">
        <v>31</v>
      </c>
      <c r="H6" t="s">
        <v>114</v>
      </c>
      <c r="J6">
        <v>6.5</v>
      </c>
      <c r="K6" t="s">
        <v>13</v>
      </c>
      <c r="N6" s="1">
        <v>45009</v>
      </c>
      <c r="O6" s="2">
        <v>100000000000</v>
      </c>
      <c r="P6">
        <v>10000000</v>
      </c>
      <c r="Q6" t="s">
        <v>118</v>
      </c>
      <c r="R6">
        <v>5</v>
      </c>
      <c r="S6" t="s">
        <v>119</v>
      </c>
      <c r="T6">
        <v>1</v>
      </c>
      <c r="U6" s="1">
        <v>45656</v>
      </c>
      <c r="V6" s="1">
        <v>46021</v>
      </c>
    </row>
    <row r="7" spans="1:22" x14ac:dyDescent="0.35">
      <c r="A7" t="s">
        <v>35</v>
      </c>
      <c r="B7" t="s">
        <v>34</v>
      </c>
      <c r="C7" t="s">
        <v>36</v>
      </c>
      <c r="D7" t="s">
        <v>10</v>
      </c>
      <c r="E7" t="s">
        <v>111</v>
      </c>
      <c r="F7" t="s">
        <v>11</v>
      </c>
      <c r="G7" t="s">
        <v>24</v>
      </c>
      <c r="H7" t="s">
        <v>12</v>
      </c>
      <c r="J7">
        <v>5.8</v>
      </c>
      <c r="K7" t="s">
        <v>13</v>
      </c>
      <c r="N7" s="1">
        <v>45253</v>
      </c>
      <c r="O7" s="2">
        <v>78676830000</v>
      </c>
      <c r="P7">
        <v>7867683</v>
      </c>
      <c r="Q7" t="s">
        <v>118</v>
      </c>
      <c r="R7">
        <v>3</v>
      </c>
      <c r="S7" t="s">
        <v>120</v>
      </c>
      <c r="T7">
        <v>1</v>
      </c>
      <c r="U7" s="1">
        <v>45831</v>
      </c>
      <c r="V7" s="1">
        <v>46196</v>
      </c>
    </row>
    <row r="8" spans="1:22" x14ac:dyDescent="0.35">
      <c r="A8" t="s">
        <v>38</v>
      </c>
      <c r="B8" t="s">
        <v>37</v>
      </c>
      <c r="C8" t="s">
        <v>39</v>
      </c>
      <c r="D8" t="s">
        <v>10</v>
      </c>
      <c r="E8" t="s">
        <v>111</v>
      </c>
      <c r="F8" t="s">
        <v>11</v>
      </c>
      <c r="G8" t="s">
        <v>24</v>
      </c>
      <c r="H8" t="s">
        <v>12</v>
      </c>
      <c r="J8">
        <v>6</v>
      </c>
      <c r="K8" t="s">
        <v>13</v>
      </c>
      <c r="N8" s="1">
        <v>45253</v>
      </c>
      <c r="O8" s="2">
        <v>61514680000</v>
      </c>
      <c r="P8">
        <v>6151468</v>
      </c>
      <c r="Q8" t="s">
        <v>118</v>
      </c>
      <c r="R8">
        <v>4</v>
      </c>
      <c r="S8" t="s">
        <v>119</v>
      </c>
      <c r="T8">
        <v>1</v>
      </c>
      <c r="U8" s="1">
        <v>45831</v>
      </c>
      <c r="V8" s="1">
        <v>46196</v>
      </c>
    </row>
    <row r="9" spans="1:22" x14ac:dyDescent="0.35">
      <c r="A9" t="s">
        <v>41</v>
      </c>
      <c r="B9" t="s">
        <v>40</v>
      </c>
      <c r="C9" t="s">
        <v>42</v>
      </c>
      <c r="D9" t="s">
        <v>10</v>
      </c>
      <c r="E9" t="s">
        <v>111</v>
      </c>
      <c r="F9" t="s">
        <v>11</v>
      </c>
      <c r="G9" t="s">
        <v>24</v>
      </c>
      <c r="H9" t="s">
        <v>12</v>
      </c>
      <c r="J9">
        <v>6.75</v>
      </c>
      <c r="K9" t="s">
        <v>13</v>
      </c>
      <c r="N9" s="1">
        <v>45253</v>
      </c>
      <c r="O9" s="2">
        <v>25052520000</v>
      </c>
      <c r="P9">
        <v>2505252</v>
      </c>
      <c r="Q9" t="s">
        <v>118</v>
      </c>
      <c r="R9">
        <v>6</v>
      </c>
      <c r="S9" t="s">
        <v>119</v>
      </c>
      <c r="T9">
        <v>1</v>
      </c>
      <c r="U9" s="1">
        <v>45831</v>
      </c>
      <c r="V9" s="1">
        <v>46196</v>
      </c>
    </row>
    <row r="10" spans="1:22" x14ac:dyDescent="0.35">
      <c r="A10" t="s">
        <v>44</v>
      </c>
      <c r="B10" t="s">
        <v>43</v>
      </c>
      <c r="C10" t="s">
        <v>45</v>
      </c>
      <c r="D10" t="s">
        <v>10</v>
      </c>
      <c r="E10" t="s">
        <v>111</v>
      </c>
      <c r="F10" t="s">
        <v>11</v>
      </c>
      <c r="G10" t="s">
        <v>24</v>
      </c>
      <c r="H10" t="s">
        <v>12</v>
      </c>
      <c r="J10">
        <v>7.25</v>
      </c>
      <c r="K10" t="s">
        <v>13</v>
      </c>
      <c r="N10" s="1">
        <v>45253</v>
      </c>
      <c r="O10" s="2">
        <v>11032250000</v>
      </c>
      <c r="P10">
        <v>1103225</v>
      </c>
      <c r="Q10" t="s">
        <v>118</v>
      </c>
      <c r="R10">
        <v>8</v>
      </c>
      <c r="S10" t="s">
        <v>119</v>
      </c>
      <c r="T10">
        <v>1</v>
      </c>
      <c r="U10" s="1">
        <v>45831</v>
      </c>
      <c r="V10" s="1">
        <v>46196</v>
      </c>
    </row>
    <row r="11" spans="1:22" x14ac:dyDescent="0.35">
      <c r="A11" t="s">
        <v>47</v>
      </c>
      <c r="B11" t="s">
        <v>46</v>
      </c>
      <c r="C11" t="s">
        <v>48</v>
      </c>
      <c r="D11" t="s">
        <v>10</v>
      </c>
      <c r="E11" t="s">
        <v>111</v>
      </c>
      <c r="F11" t="s">
        <v>11</v>
      </c>
      <c r="G11" t="s">
        <v>20</v>
      </c>
      <c r="H11" t="s">
        <v>16</v>
      </c>
      <c r="J11">
        <v>6.25</v>
      </c>
      <c r="K11" t="s">
        <v>13</v>
      </c>
      <c r="N11" s="1">
        <v>45656</v>
      </c>
      <c r="O11" s="2">
        <v>154605500000</v>
      </c>
      <c r="P11">
        <v>15460550</v>
      </c>
      <c r="Q11" t="s">
        <v>118</v>
      </c>
      <c r="R11">
        <v>5</v>
      </c>
      <c r="S11" t="s">
        <v>119</v>
      </c>
      <c r="T11">
        <v>1</v>
      </c>
      <c r="U11" s="1">
        <v>45853</v>
      </c>
      <c r="V11" s="1">
        <v>46218</v>
      </c>
    </row>
    <row r="12" spans="1:22" x14ac:dyDescent="0.35">
      <c r="A12" t="s">
        <v>50</v>
      </c>
      <c r="B12" t="s">
        <v>49</v>
      </c>
      <c r="C12" t="s">
        <v>51</v>
      </c>
      <c r="D12" t="s">
        <v>10</v>
      </c>
      <c r="E12" t="s">
        <v>111</v>
      </c>
      <c r="F12" t="s">
        <v>11</v>
      </c>
      <c r="G12" t="s">
        <v>20</v>
      </c>
      <c r="H12" t="s">
        <v>16</v>
      </c>
      <c r="J12">
        <v>6</v>
      </c>
      <c r="K12" t="s">
        <v>13</v>
      </c>
      <c r="N12" s="1">
        <v>45656</v>
      </c>
      <c r="O12" s="2">
        <v>109889950000</v>
      </c>
      <c r="P12">
        <v>10988995</v>
      </c>
      <c r="Q12" t="s">
        <v>118</v>
      </c>
      <c r="R12">
        <v>3</v>
      </c>
      <c r="S12" t="s">
        <v>120</v>
      </c>
      <c r="T12">
        <v>1</v>
      </c>
      <c r="U12" s="1">
        <v>45745</v>
      </c>
      <c r="V12" s="1">
        <v>46110</v>
      </c>
    </row>
    <row r="13" spans="1:22" x14ac:dyDescent="0.35">
      <c r="A13" t="s">
        <v>53</v>
      </c>
      <c r="B13" t="s">
        <v>52</v>
      </c>
      <c r="C13" t="s">
        <v>54</v>
      </c>
      <c r="D13" t="s">
        <v>10</v>
      </c>
      <c r="E13" t="s">
        <v>111</v>
      </c>
      <c r="F13" t="s">
        <v>11</v>
      </c>
      <c r="G13" t="s">
        <v>20</v>
      </c>
      <c r="H13" t="s">
        <v>16</v>
      </c>
      <c r="J13">
        <v>6.5</v>
      </c>
      <c r="K13" t="s">
        <v>13</v>
      </c>
      <c r="N13" s="1">
        <v>45656</v>
      </c>
      <c r="O13" s="2">
        <v>8272950000</v>
      </c>
      <c r="P13">
        <v>827295</v>
      </c>
      <c r="Q13" t="s">
        <v>118</v>
      </c>
      <c r="R13">
        <v>5</v>
      </c>
      <c r="S13" t="s">
        <v>119</v>
      </c>
      <c r="T13">
        <v>1</v>
      </c>
      <c r="U13" s="1">
        <v>45745</v>
      </c>
      <c r="V13" s="1">
        <v>46110</v>
      </c>
    </row>
    <row r="14" spans="1:22" x14ac:dyDescent="0.35">
      <c r="A14" t="s">
        <v>56</v>
      </c>
      <c r="B14" t="s">
        <v>55</v>
      </c>
      <c r="C14" t="s">
        <v>57</v>
      </c>
      <c r="D14" t="s">
        <v>10</v>
      </c>
      <c r="E14" t="s">
        <v>111</v>
      </c>
      <c r="F14" t="s">
        <v>11</v>
      </c>
      <c r="G14" t="s">
        <v>20</v>
      </c>
      <c r="H14" t="s">
        <v>16</v>
      </c>
      <c r="J14">
        <v>7.5</v>
      </c>
      <c r="K14" t="s">
        <v>13</v>
      </c>
      <c r="N14" s="1">
        <v>45656</v>
      </c>
      <c r="O14" s="2">
        <v>50945040000</v>
      </c>
      <c r="P14">
        <v>5094504</v>
      </c>
      <c r="Q14" t="s">
        <v>118</v>
      </c>
      <c r="R14">
        <v>7</v>
      </c>
      <c r="S14" t="s">
        <v>119</v>
      </c>
      <c r="T14">
        <v>1</v>
      </c>
      <c r="U14" s="1">
        <v>45745</v>
      </c>
      <c r="V14" s="1">
        <v>46110</v>
      </c>
    </row>
    <row r="15" spans="1:22" x14ac:dyDescent="0.35">
      <c r="A15" t="s">
        <v>59</v>
      </c>
      <c r="B15" t="s">
        <v>58</v>
      </c>
      <c r="C15" t="s">
        <v>60</v>
      </c>
      <c r="D15" t="s">
        <v>10</v>
      </c>
      <c r="E15" t="s">
        <v>111</v>
      </c>
      <c r="F15" t="s">
        <v>11</v>
      </c>
      <c r="G15" t="s">
        <v>20</v>
      </c>
      <c r="H15" t="s">
        <v>16</v>
      </c>
      <c r="J15">
        <v>6.6</v>
      </c>
      <c r="K15" t="s">
        <v>13</v>
      </c>
      <c r="N15" s="1">
        <v>45656</v>
      </c>
      <c r="O15" s="2">
        <v>46629860000</v>
      </c>
      <c r="P15">
        <v>4662986</v>
      </c>
      <c r="Q15" t="s">
        <v>118</v>
      </c>
      <c r="R15">
        <v>3</v>
      </c>
      <c r="S15" t="s">
        <v>119</v>
      </c>
      <c r="T15">
        <v>1</v>
      </c>
      <c r="U15" s="1">
        <v>45839</v>
      </c>
      <c r="V15" s="1">
        <v>46204</v>
      </c>
    </row>
    <row r="16" spans="1:22" x14ac:dyDescent="0.35">
      <c r="A16" t="s">
        <v>62</v>
      </c>
      <c r="B16" t="s">
        <v>61</v>
      </c>
      <c r="C16" t="s">
        <v>63</v>
      </c>
      <c r="D16" t="s">
        <v>10</v>
      </c>
      <c r="E16" t="s">
        <v>111</v>
      </c>
      <c r="F16" t="s">
        <v>11</v>
      </c>
      <c r="G16" t="s">
        <v>20</v>
      </c>
      <c r="H16" t="s">
        <v>16</v>
      </c>
      <c r="J16">
        <v>6.75</v>
      </c>
      <c r="K16" t="s">
        <v>13</v>
      </c>
      <c r="N16" s="1">
        <v>45656</v>
      </c>
      <c r="O16" s="2">
        <v>120300000</v>
      </c>
      <c r="P16">
        <v>12030</v>
      </c>
      <c r="Q16" t="s">
        <v>118</v>
      </c>
      <c r="R16">
        <v>4</v>
      </c>
      <c r="S16" t="s">
        <v>119</v>
      </c>
      <c r="T16">
        <v>1</v>
      </c>
      <c r="U16" s="1">
        <v>45839</v>
      </c>
      <c r="V16" s="1">
        <v>46204</v>
      </c>
    </row>
    <row r="17" spans="1:22" x14ac:dyDescent="0.35">
      <c r="A17" t="s">
        <v>65</v>
      </c>
      <c r="B17" t="s">
        <v>64</v>
      </c>
      <c r="C17" t="s">
        <v>66</v>
      </c>
      <c r="D17" t="s">
        <v>10</v>
      </c>
      <c r="E17" t="s">
        <v>111</v>
      </c>
      <c r="F17" t="s">
        <v>11</v>
      </c>
      <c r="G17" t="s">
        <v>20</v>
      </c>
      <c r="H17" t="s">
        <v>16</v>
      </c>
      <c r="J17">
        <v>7</v>
      </c>
      <c r="K17" t="s">
        <v>13</v>
      </c>
      <c r="N17" s="1">
        <v>45656</v>
      </c>
      <c r="O17" s="2">
        <v>1691350000</v>
      </c>
      <c r="P17">
        <v>169135</v>
      </c>
      <c r="Q17" t="s">
        <v>118</v>
      </c>
      <c r="R17">
        <v>6</v>
      </c>
      <c r="S17" t="s">
        <v>119</v>
      </c>
      <c r="T17">
        <v>1</v>
      </c>
      <c r="U17" s="1">
        <v>45839</v>
      </c>
      <c r="V17" s="1">
        <v>46204</v>
      </c>
    </row>
    <row r="18" spans="1:22" x14ac:dyDescent="0.35">
      <c r="A18" t="s">
        <v>68</v>
      </c>
      <c r="B18" t="s">
        <v>67</v>
      </c>
      <c r="C18" t="s">
        <v>69</v>
      </c>
      <c r="D18" t="s">
        <v>10</v>
      </c>
      <c r="E18" t="s">
        <v>111</v>
      </c>
      <c r="F18" t="s">
        <v>11</v>
      </c>
      <c r="G18" t="s">
        <v>20</v>
      </c>
      <c r="H18" t="s">
        <v>16</v>
      </c>
      <c r="J18">
        <v>6.6</v>
      </c>
      <c r="K18" t="s">
        <v>13</v>
      </c>
      <c r="N18" s="1">
        <v>45807</v>
      </c>
      <c r="O18" s="2">
        <v>66249570000</v>
      </c>
      <c r="P18">
        <v>6624957</v>
      </c>
      <c r="Q18" t="s">
        <v>118</v>
      </c>
      <c r="R18">
        <v>3</v>
      </c>
      <c r="S18" t="s">
        <v>119</v>
      </c>
      <c r="T18">
        <v>1</v>
      </c>
      <c r="U18" s="1">
        <v>45656</v>
      </c>
      <c r="V18" s="1">
        <v>46021</v>
      </c>
    </row>
    <row r="19" spans="1:22" x14ac:dyDescent="0.35">
      <c r="A19" t="s">
        <v>71</v>
      </c>
      <c r="B19" t="s">
        <v>70</v>
      </c>
      <c r="C19" t="s">
        <v>72</v>
      </c>
      <c r="D19" t="s">
        <v>10</v>
      </c>
      <c r="E19" t="s">
        <v>111</v>
      </c>
      <c r="F19" t="s">
        <v>11</v>
      </c>
      <c r="G19" t="s">
        <v>20</v>
      </c>
      <c r="H19" t="s">
        <v>16</v>
      </c>
      <c r="J19">
        <v>6.75</v>
      </c>
      <c r="K19" t="s">
        <v>13</v>
      </c>
      <c r="N19" s="1">
        <v>45807</v>
      </c>
      <c r="O19" s="2">
        <v>356230000</v>
      </c>
      <c r="P19">
        <v>35623</v>
      </c>
      <c r="Q19" t="s">
        <v>118</v>
      </c>
      <c r="R19">
        <v>4</v>
      </c>
      <c r="S19" t="s">
        <v>119</v>
      </c>
      <c r="T19">
        <v>1</v>
      </c>
      <c r="U19" s="1">
        <v>45656</v>
      </c>
      <c r="V19" s="1">
        <v>46021</v>
      </c>
    </row>
    <row r="20" spans="1:22" x14ac:dyDescent="0.35">
      <c r="A20" t="s">
        <v>74</v>
      </c>
      <c r="B20" t="s">
        <v>73</v>
      </c>
      <c r="C20" t="s">
        <v>75</v>
      </c>
      <c r="D20" t="s">
        <v>10</v>
      </c>
      <c r="E20" t="s">
        <v>111</v>
      </c>
      <c r="F20" t="s">
        <v>11</v>
      </c>
      <c r="G20" t="s">
        <v>20</v>
      </c>
      <c r="H20" t="s">
        <v>16</v>
      </c>
      <c r="J20">
        <v>7</v>
      </c>
      <c r="K20" t="s">
        <v>13</v>
      </c>
      <c r="N20" s="1">
        <v>45807</v>
      </c>
      <c r="O20" s="2">
        <v>13459960000</v>
      </c>
      <c r="P20">
        <v>1345996</v>
      </c>
      <c r="Q20" t="s">
        <v>118</v>
      </c>
      <c r="R20">
        <v>6</v>
      </c>
      <c r="S20" t="s">
        <v>119</v>
      </c>
      <c r="T20">
        <v>1</v>
      </c>
      <c r="U20" s="1">
        <v>45656</v>
      </c>
      <c r="V20" s="1">
        <v>46021</v>
      </c>
    </row>
    <row r="21" spans="1:22" x14ac:dyDescent="0.35">
      <c r="A21" t="s">
        <v>78</v>
      </c>
      <c r="B21" t="s">
        <v>77</v>
      </c>
      <c r="C21" t="s">
        <v>79</v>
      </c>
      <c r="D21" t="s">
        <v>10</v>
      </c>
      <c r="E21" t="s">
        <v>112</v>
      </c>
      <c r="F21" t="s">
        <v>11</v>
      </c>
      <c r="G21" t="s">
        <v>76</v>
      </c>
      <c r="H21" t="s">
        <v>15</v>
      </c>
      <c r="J21">
        <v>5.45</v>
      </c>
      <c r="K21" t="s">
        <v>13</v>
      </c>
      <c r="N21" s="1">
        <v>44230</v>
      </c>
      <c r="O21" s="2">
        <v>106791920000</v>
      </c>
      <c r="P21">
        <v>10679192</v>
      </c>
      <c r="Q21" t="s">
        <v>118</v>
      </c>
      <c r="R21">
        <v>7</v>
      </c>
      <c r="S21" t="s">
        <v>119</v>
      </c>
      <c r="T21">
        <v>1</v>
      </c>
      <c r="U21" s="1">
        <v>45657</v>
      </c>
      <c r="V21" s="1">
        <v>46022</v>
      </c>
    </row>
    <row r="22" spans="1:22" x14ac:dyDescent="0.35">
      <c r="A22" t="s">
        <v>81</v>
      </c>
      <c r="B22" t="s">
        <v>80</v>
      </c>
      <c r="C22" t="s">
        <v>82</v>
      </c>
      <c r="D22" t="s">
        <v>10</v>
      </c>
      <c r="E22" t="s">
        <v>112</v>
      </c>
      <c r="F22" t="s">
        <v>11</v>
      </c>
      <c r="G22" t="s">
        <v>76</v>
      </c>
      <c r="H22" t="s">
        <v>15</v>
      </c>
      <c r="J22">
        <v>5.6</v>
      </c>
      <c r="K22" t="s">
        <v>13</v>
      </c>
      <c r="N22" s="1">
        <v>44631</v>
      </c>
      <c r="O22" s="2">
        <v>114873410000</v>
      </c>
      <c r="P22">
        <v>11487341</v>
      </c>
      <c r="Q22" t="s">
        <v>118</v>
      </c>
      <c r="R22">
        <v>7</v>
      </c>
      <c r="S22" t="s">
        <v>119</v>
      </c>
      <c r="T22">
        <v>1</v>
      </c>
      <c r="U22" s="1">
        <v>45634</v>
      </c>
      <c r="V22" s="1">
        <v>45999</v>
      </c>
    </row>
    <row r="23" spans="1:22" x14ac:dyDescent="0.35">
      <c r="A23" t="s">
        <v>84</v>
      </c>
      <c r="B23" t="s">
        <v>83</v>
      </c>
      <c r="C23" t="s">
        <v>85</v>
      </c>
      <c r="D23" t="s">
        <v>10</v>
      </c>
      <c r="E23" t="s">
        <v>112</v>
      </c>
      <c r="F23" t="s">
        <v>11</v>
      </c>
      <c r="G23" t="s">
        <v>76</v>
      </c>
      <c r="H23" t="s">
        <v>15</v>
      </c>
      <c r="J23">
        <v>6</v>
      </c>
      <c r="K23" t="s">
        <v>13</v>
      </c>
      <c r="N23" s="1">
        <v>44972</v>
      </c>
      <c r="O23" s="2">
        <v>110856330000</v>
      </c>
      <c r="P23">
        <v>11085633</v>
      </c>
      <c r="Q23" t="s">
        <v>118</v>
      </c>
      <c r="R23">
        <v>7</v>
      </c>
      <c r="S23" t="s">
        <v>119</v>
      </c>
      <c r="T23">
        <v>1</v>
      </c>
      <c r="U23" s="1">
        <v>45656</v>
      </c>
      <c r="V23" s="1">
        <v>46021</v>
      </c>
    </row>
    <row r="24" spans="1:22" x14ac:dyDescent="0.35">
      <c r="A24" t="s">
        <v>87</v>
      </c>
      <c r="B24" t="s">
        <v>86</v>
      </c>
      <c r="C24" t="s">
        <v>88</v>
      </c>
      <c r="D24" t="s">
        <v>10</v>
      </c>
      <c r="E24" t="s">
        <v>112</v>
      </c>
      <c r="F24" t="s">
        <v>11</v>
      </c>
      <c r="G24" t="s">
        <v>76</v>
      </c>
      <c r="H24" t="s">
        <v>15</v>
      </c>
      <c r="J24">
        <v>6.2</v>
      </c>
      <c r="K24" t="s">
        <v>13</v>
      </c>
      <c r="N24" s="1">
        <v>45511</v>
      </c>
      <c r="O24" s="2">
        <v>23615870000</v>
      </c>
      <c r="P24">
        <v>2361587</v>
      </c>
      <c r="Q24" t="s">
        <v>118</v>
      </c>
      <c r="R24">
        <v>7</v>
      </c>
      <c r="S24" t="s">
        <v>119</v>
      </c>
      <c r="T24">
        <v>1</v>
      </c>
      <c r="U24" s="1">
        <v>45738</v>
      </c>
      <c r="V24" s="1">
        <v>46103</v>
      </c>
    </row>
    <row r="25" spans="1:22" x14ac:dyDescent="0.35">
      <c r="A25" t="s">
        <v>90</v>
      </c>
      <c r="B25" t="s">
        <v>89</v>
      </c>
      <c r="C25" t="s">
        <v>91</v>
      </c>
      <c r="D25" t="s">
        <v>10</v>
      </c>
      <c r="E25" t="s">
        <v>112</v>
      </c>
      <c r="F25" t="s">
        <v>11</v>
      </c>
      <c r="G25" t="s">
        <v>76</v>
      </c>
      <c r="H25" t="s">
        <v>15</v>
      </c>
      <c r="J25">
        <v>5.95</v>
      </c>
      <c r="K25" t="s">
        <v>13</v>
      </c>
      <c r="N25" s="1">
        <v>45511</v>
      </c>
      <c r="O25" s="2">
        <v>15386850000</v>
      </c>
      <c r="P25">
        <v>1538685</v>
      </c>
      <c r="Q25" t="s">
        <v>118</v>
      </c>
      <c r="R25">
        <v>5</v>
      </c>
      <c r="S25" t="s">
        <v>119</v>
      </c>
      <c r="T25">
        <v>1</v>
      </c>
      <c r="U25" s="1">
        <v>45738</v>
      </c>
      <c r="V25" s="1">
        <v>46103</v>
      </c>
    </row>
    <row r="26" spans="1:22" x14ac:dyDescent="0.35">
      <c r="A26" t="s">
        <v>93</v>
      </c>
      <c r="B26" t="s">
        <v>92</v>
      </c>
      <c r="C26" t="s">
        <v>94</v>
      </c>
      <c r="D26" t="s">
        <v>10</v>
      </c>
      <c r="E26" t="s">
        <v>112</v>
      </c>
      <c r="F26" t="s">
        <v>11</v>
      </c>
      <c r="G26" t="s">
        <v>76</v>
      </c>
      <c r="H26" t="s">
        <v>15</v>
      </c>
      <c r="J26">
        <v>4.7</v>
      </c>
      <c r="K26" t="s">
        <v>13</v>
      </c>
      <c r="N26" s="1">
        <v>45511</v>
      </c>
      <c r="O26" s="2">
        <v>15766990000</v>
      </c>
      <c r="P26">
        <v>1576699</v>
      </c>
      <c r="Q26" t="s">
        <v>118</v>
      </c>
      <c r="R26">
        <v>3</v>
      </c>
      <c r="S26" t="s">
        <v>120</v>
      </c>
      <c r="T26">
        <v>1</v>
      </c>
      <c r="U26" s="1">
        <v>45738</v>
      </c>
      <c r="V26" s="1">
        <v>46103</v>
      </c>
    </row>
    <row r="27" spans="1:22" x14ac:dyDescent="0.35">
      <c r="A27" t="s">
        <v>97</v>
      </c>
      <c r="B27" t="s">
        <v>96</v>
      </c>
      <c r="C27" t="s">
        <v>98</v>
      </c>
      <c r="D27" t="s">
        <v>10</v>
      </c>
      <c r="E27" t="s">
        <v>113</v>
      </c>
      <c r="F27" t="s">
        <v>11</v>
      </c>
      <c r="G27" t="s">
        <v>95</v>
      </c>
      <c r="H27" t="s">
        <v>12</v>
      </c>
      <c r="J27">
        <v>6.5</v>
      </c>
      <c r="K27" t="s">
        <v>13</v>
      </c>
      <c r="N27" s="1">
        <v>45327</v>
      </c>
      <c r="O27" s="2">
        <v>3473030000</v>
      </c>
      <c r="P27">
        <v>347303</v>
      </c>
      <c r="Q27" t="s">
        <v>118</v>
      </c>
      <c r="R27">
        <v>5</v>
      </c>
      <c r="S27" t="s">
        <v>119</v>
      </c>
      <c r="T27">
        <v>2</v>
      </c>
      <c r="U27" s="1">
        <v>45885</v>
      </c>
      <c r="V27" s="1">
        <v>46069</v>
      </c>
    </row>
    <row r="28" spans="1:22" x14ac:dyDescent="0.35">
      <c r="A28" t="s">
        <v>100</v>
      </c>
      <c r="B28" t="s">
        <v>99</v>
      </c>
      <c r="C28" t="s">
        <v>101</v>
      </c>
      <c r="D28" t="s">
        <v>10</v>
      </c>
      <c r="E28" t="s">
        <v>113</v>
      </c>
      <c r="F28" t="s">
        <v>11</v>
      </c>
      <c r="G28" t="s">
        <v>95</v>
      </c>
      <c r="H28" t="s">
        <v>12</v>
      </c>
      <c r="J28">
        <v>6</v>
      </c>
      <c r="K28" t="s">
        <v>13</v>
      </c>
      <c r="N28" s="1">
        <v>45327</v>
      </c>
      <c r="O28" s="2">
        <v>4607850000</v>
      </c>
      <c r="P28">
        <v>460785</v>
      </c>
      <c r="Q28" t="s">
        <v>118</v>
      </c>
      <c r="R28">
        <v>3</v>
      </c>
      <c r="S28" t="s">
        <v>119</v>
      </c>
      <c r="T28">
        <v>2</v>
      </c>
      <c r="U28" s="1">
        <v>45885</v>
      </c>
      <c r="V28" s="1">
        <v>46069</v>
      </c>
    </row>
    <row r="29" spans="1:22" x14ac:dyDescent="0.35">
      <c r="A29" t="s">
        <v>104</v>
      </c>
      <c r="B29" t="s">
        <v>103</v>
      </c>
      <c r="C29" t="s">
        <v>105</v>
      </c>
      <c r="D29" t="s">
        <v>10</v>
      </c>
      <c r="E29" t="s">
        <v>113</v>
      </c>
      <c r="F29" t="s">
        <v>11</v>
      </c>
      <c r="G29" t="s">
        <v>102</v>
      </c>
      <c r="H29" t="s">
        <v>12</v>
      </c>
      <c r="J29">
        <v>7</v>
      </c>
      <c r="K29" t="s">
        <v>13</v>
      </c>
      <c r="N29" s="1">
        <v>45755</v>
      </c>
      <c r="O29" s="2">
        <v>5000000000</v>
      </c>
      <c r="P29">
        <v>500000</v>
      </c>
      <c r="Q29" t="s">
        <v>118</v>
      </c>
      <c r="R29">
        <v>3</v>
      </c>
      <c r="S29" t="s">
        <v>119</v>
      </c>
      <c r="T29">
        <v>2</v>
      </c>
      <c r="U29" s="1">
        <v>45838</v>
      </c>
      <c r="V29" s="1">
        <v>46022</v>
      </c>
    </row>
    <row r="30" spans="1:22" x14ac:dyDescent="0.35">
      <c r="A30" t="s">
        <v>108</v>
      </c>
      <c r="B30" t="s">
        <v>107</v>
      </c>
      <c r="C30" t="s">
        <v>109</v>
      </c>
      <c r="D30" t="s">
        <v>10</v>
      </c>
      <c r="E30" t="s">
        <v>113</v>
      </c>
      <c r="F30" t="s">
        <v>11</v>
      </c>
      <c r="G30" t="s">
        <v>106</v>
      </c>
      <c r="H30" t="s">
        <v>15</v>
      </c>
      <c r="J30">
        <v>6.5</v>
      </c>
      <c r="K30" t="s">
        <v>13</v>
      </c>
      <c r="N30" s="1">
        <v>45945</v>
      </c>
      <c r="O30" s="2">
        <v>32086000000</v>
      </c>
      <c r="P30">
        <v>3208600</v>
      </c>
      <c r="Q30" t="s">
        <v>118</v>
      </c>
      <c r="R30">
        <v>5</v>
      </c>
      <c r="S30" t="s">
        <v>119</v>
      </c>
      <c r="T30">
        <v>1</v>
      </c>
      <c r="U30" s="1">
        <v>45657</v>
      </c>
      <c r="V30" s="1">
        <v>46022</v>
      </c>
    </row>
    <row r="35" spans="7:8" x14ac:dyDescent="0.35">
      <c r="G35" t="str" cm="1">
        <f t="array" ref="G35:G42">_xlfn.UNIQUE(G2:G30)</f>
        <v>ETAT DU CONGO</v>
      </c>
      <c r="H35" t="str">
        <f>_xlfn.XLOOKUP(G35,$G$2:$G$30,$H$2:$H$30)</f>
        <v>CG</v>
      </c>
    </row>
    <row r="36" spans="7:8" x14ac:dyDescent="0.35">
      <c r="G36" t="str">
        <v>ETAT DU GABON</v>
      </c>
      <c r="H36" t="str">
        <f t="shared" ref="H36:H42" si="0">_xlfn.XLOOKUP(G36,$G$2:$G$30,$H$2:$H$30)</f>
        <v>GA</v>
      </c>
    </row>
    <row r="37" spans="7:8" x14ac:dyDescent="0.35">
      <c r="G37" t="str">
        <v>ETAT DU CAMEROUN</v>
      </c>
      <c r="H37" t="str">
        <f t="shared" si="0"/>
        <v>CM</v>
      </c>
    </row>
    <row r="38" spans="7:8" x14ac:dyDescent="0.35">
      <c r="G38" t="str">
        <v>ETAT DU TCHAD</v>
      </c>
      <c r="H38" t="str">
        <f t="shared" si="0"/>
        <v>TD</v>
      </c>
    </row>
    <row r="39" spans="7:8" x14ac:dyDescent="0.35">
      <c r="G39" t="str">
        <v>BDEAC</v>
      </c>
      <c r="H39" t="str">
        <f t="shared" si="0"/>
        <v>CG</v>
      </c>
    </row>
    <row r="40" spans="7:8" x14ac:dyDescent="0.35">
      <c r="G40" t="str">
        <v>ALIOS FINANCE</v>
      </c>
      <c r="H40" t="str">
        <f t="shared" si="0"/>
        <v>CM</v>
      </c>
    </row>
    <row r="41" spans="7:8" x14ac:dyDescent="0.35">
      <c r="G41" t="str">
        <v>ACEP CAMEROUN</v>
      </c>
      <c r="H41" t="str">
        <f t="shared" si="0"/>
        <v>CM</v>
      </c>
    </row>
    <row r="42" spans="7:8" x14ac:dyDescent="0.35">
      <c r="G42" t="str">
        <v>SNPC</v>
      </c>
      <c r="H42" t="str">
        <f t="shared" si="0"/>
        <v>CG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2025-12-31T02:52:10Z</dcterms:created>
  <dcterms:modified xsi:type="dcterms:W3CDTF">2025-12-31T04:13:19Z</dcterms:modified>
</cp:coreProperties>
</file>