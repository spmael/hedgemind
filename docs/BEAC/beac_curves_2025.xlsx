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media/market_data/yield_curves/BEAC/"/>
    </mc:Choice>
  </mc:AlternateContent>
  <xr:revisionPtr revIDLastSave="72" documentId="8_{017BF6E9-93DF-45C8-A46F-4DDA1FDF22B8}" xr6:coauthVersionLast="47" xr6:coauthVersionMax="47" xr10:uidLastSave="{C03FDBE9-F99E-48D5-BF72-8F30435EDC27}"/>
  <bookViews>
    <workbookView xWindow="38280" yWindow="-120" windowWidth="29040" windowHeight="17520" activeTab="2" xr2:uid="{5E2A989B-7E4B-40D7-AF25-58EF541D033D}"/>
  </bookViews>
  <sheets>
    <sheet name="CM" sheetId="1" r:id="rId1"/>
    <sheet name="GA" sheetId="2" r:id="rId2"/>
    <sheet name="C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9" i="1" l="1" a="1"/>
  <c r="K99" i="1" s="1"/>
  <c r="D92" i="1" a="1"/>
  <c r="D92" i="1" s="1"/>
  <c r="B96" i="1" a="1"/>
  <c r="B96" i="1" s="1"/>
  <c r="L98" i="1" a="1"/>
  <c r="L98" i="1" s="1"/>
  <c r="I98" i="1" a="1"/>
  <c r="I98" i="1" s="1"/>
  <c r="J93" i="1" l="1" a="1"/>
  <c r="J93" i="1" s="1"/>
  <c r="M93" i="1" a="1"/>
  <c r="M93" i="1" s="1"/>
  <c r="F89" i="1" a="1"/>
  <c r="F89" i="1" s="1"/>
  <c r="I89" i="1" a="1"/>
  <c r="I89" i="1" s="1"/>
  <c r="C89" i="1" a="1"/>
  <c r="C89" i="1" s="1"/>
  <c r="J88" i="1" a="1"/>
  <c r="J88" i="1" s="1"/>
  <c r="E88" i="1" a="1"/>
  <c r="E88" i="1" s="1"/>
  <c r="E89" i="1" a="1"/>
  <c r="E89" i="1" s="1"/>
  <c r="M88" i="1" a="1"/>
  <c r="M88" i="1" s="1"/>
  <c r="L89" i="1" a="1"/>
  <c r="L89" i="1" s="1"/>
  <c r="E95" i="1" a="1"/>
  <c r="E95" i="1" s="1"/>
  <c r="K97" i="1" a="1"/>
  <c r="K97" i="1" s="1"/>
  <c r="O93" i="1" a="1"/>
  <c r="O93" i="1" s="1"/>
  <c r="F90" i="1" a="1"/>
  <c r="F90" i="1" s="1"/>
  <c r="D89" i="1" a="1"/>
  <c r="D89" i="1" s="1"/>
  <c r="L92" i="1" a="1"/>
  <c r="L92" i="1" s="1"/>
  <c r="O96" i="1" a="1"/>
  <c r="O96" i="1" s="1"/>
  <c r="C94" i="1" a="1"/>
  <c r="C94" i="1" s="1"/>
  <c r="O98" i="1" a="1"/>
  <c r="O98" i="1" s="1"/>
  <c r="N90" i="1" a="1"/>
  <c r="N90" i="1" s="1"/>
  <c r="B99" i="1" a="1"/>
  <c r="B99" i="1" s="1"/>
  <c r="K91" i="1" a="1"/>
  <c r="K91" i="1" s="1"/>
  <c r="G89" i="1" a="1"/>
  <c r="G89" i="1" s="1"/>
  <c r="E96" i="1" a="1"/>
  <c r="E96" i="1" s="1"/>
  <c r="D95" i="1" a="1"/>
  <c r="D95" i="1" s="1"/>
  <c r="G93" i="1" a="1"/>
  <c r="G93" i="1" s="1"/>
  <c r="B93" i="1" a="1"/>
  <c r="B93" i="1" s="1"/>
  <c r="O92" i="1" a="1"/>
  <c r="O92" i="1" s="1"/>
  <c r="F91" i="1" a="1"/>
  <c r="F91" i="1" s="1"/>
  <c r="E90" i="1" a="1"/>
  <c r="E90" i="1" s="1"/>
  <c r="D97" i="1" a="1"/>
  <c r="D97" i="1" s="1"/>
  <c r="C88" i="1" a="1"/>
  <c r="C88" i="1" s="1"/>
  <c r="F94" i="1" a="1"/>
  <c r="F94" i="1" s="1"/>
  <c r="E99" i="1" a="1"/>
  <c r="E99" i="1" s="1"/>
  <c r="E93" i="1" a="1"/>
  <c r="E93" i="1" s="1"/>
  <c r="C100" i="1" a="1"/>
  <c r="C100" i="1" s="1"/>
  <c r="B97" i="1" a="1"/>
  <c r="B97" i="1" s="1"/>
  <c r="J96" i="1" a="1"/>
  <c r="J96" i="1" s="1"/>
  <c r="N97" i="1" a="1"/>
  <c r="N97" i="1" s="1"/>
  <c r="F88" i="1" a="1"/>
  <c r="F88" i="1" s="1"/>
  <c r="D98" i="1" a="1"/>
  <c r="D98" i="1" s="1"/>
  <c r="E92" i="1" a="1"/>
  <c r="E92" i="1" s="1"/>
  <c r="L94" i="1" a="1"/>
  <c r="L94" i="1" s="1"/>
  <c r="G94" i="1" a="1"/>
  <c r="G94" i="1" s="1"/>
  <c r="F95" i="1" a="1"/>
  <c r="F95" i="1" s="1"/>
  <c r="G95" i="1" a="1"/>
  <c r="G95" i="1" s="1"/>
  <c r="O94" i="1" a="1"/>
  <c r="O94" i="1" s="1"/>
  <c r="N95" i="1" a="1"/>
  <c r="N95" i="1" s="1"/>
  <c r="F97" i="1" a="1"/>
  <c r="F97" i="1" s="1"/>
  <c r="I97" i="1" a="1"/>
  <c r="I97" i="1" s="1"/>
  <c r="H94" i="1" a="1"/>
  <c r="H94" i="1" s="1"/>
  <c r="D94" i="1" a="1"/>
  <c r="D94" i="1" s="1"/>
  <c r="F99" i="1" a="1"/>
  <c r="F99" i="1" s="1"/>
  <c r="L88" i="1" a="1"/>
  <c r="L88" i="1" s="1"/>
  <c r="O89" i="1" a="1"/>
  <c r="O89" i="1" s="1"/>
  <c r="M90" i="1" a="1"/>
  <c r="M90" i="1" s="1"/>
  <c r="D99" i="1" a="1"/>
  <c r="D99" i="1" s="1"/>
  <c r="G99" i="1" a="1"/>
  <c r="G99" i="1" s="1"/>
  <c r="B89" i="1" a="1"/>
  <c r="B89" i="1" s="1"/>
  <c r="H98" i="1" a="1"/>
  <c r="H98" i="1" s="1"/>
  <c r="C98" i="1" a="1"/>
  <c r="C98" i="1" s="1"/>
  <c r="C99" i="1" a="1"/>
  <c r="C99" i="1" s="1"/>
  <c r="K98" i="1" a="1"/>
  <c r="K98" i="1" s="1"/>
  <c r="J99" i="1" a="1"/>
  <c r="J99" i="1" s="1"/>
  <c r="D91" i="1" a="1"/>
  <c r="D91" i="1" s="1"/>
  <c r="G91" i="1" a="1"/>
  <c r="G91" i="1" s="1"/>
  <c r="K89" i="1" a="1"/>
  <c r="K89" i="1" s="1"/>
  <c r="L91" i="1" a="1"/>
  <c r="L91" i="1" s="1"/>
  <c r="O91" i="1" a="1"/>
  <c r="O91" i="1" s="1"/>
  <c r="J94" i="1" a="1"/>
  <c r="J94" i="1" s="1"/>
  <c r="K93" i="1" a="1"/>
  <c r="K93" i="1" s="1"/>
  <c r="I94" i="1" a="1"/>
  <c r="I94" i="1" s="1"/>
  <c r="I93" i="1" a="1"/>
  <c r="I93" i="1" s="1"/>
  <c r="K94" i="1" a="1"/>
  <c r="K94" i="1" s="1"/>
  <c r="N99" i="1" a="1"/>
  <c r="N99" i="1" s="1"/>
  <c r="J89" i="1" a="1"/>
  <c r="J89" i="1" s="1"/>
  <c r="L95" i="1" a="1"/>
  <c r="L95" i="1" s="1"/>
  <c r="J90" i="1" a="1"/>
  <c r="J90" i="1" s="1"/>
  <c r="H91" i="1" a="1"/>
  <c r="H91" i="1" s="1"/>
  <c r="O99" i="1" a="1"/>
  <c r="O99" i="1" s="1"/>
  <c r="N89" i="1" a="1"/>
  <c r="N89" i="1" s="1"/>
  <c r="D90" i="1" a="1"/>
  <c r="D90" i="1" s="1"/>
  <c r="I90" i="1" a="1"/>
  <c r="I90" i="1" s="1"/>
  <c r="L90" i="1" a="1"/>
  <c r="L90" i="1" s="1"/>
  <c r="N98" i="1" a="1"/>
  <c r="N98" i="1" s="1"/>
  <c r="C96" i="1" a="1"/>
  <c r="C96" i="1" s="1"/>
  <c r="F96" i="1" a="1"/>
  <c r="F96" i="1" s="1"/>
  <c r="L100" i="1" a="1"/>
  <c r="L100" i="1" s="1"/>
  <c r="K96" i="1" a="1"/>
  <c r="K96" i="1" s="1"/>
  <c r="N96" i="1" a="1"/>
  <c r="N96" i="1" s="1"/>
  <c r="I91" i="1" a="1"/>
  <c r="I91" i="1" s="1"/>
  <c r="B100" i="1" a="1"/>
  <c r="B100" i="1" s="1"/>
  <c r="J98" i="1" a="1"/>
  <c r="J98" i="1" s="1"/>
  <c r="H99" i="1" a="1"/>
  <c r="H99" i="1" s="1"/>
  <c r="M100" i="1" a="1"/>
  <c r="M100" i="1" s="1"/>
  <c r="N94" i="1" a="1"/>
  <c r="N94" i="1" s="1"/>
  <c r="M99" i="1" a="1"/>
  <c r="M99" i="1" s="1"/>
  <c r="K100" i="1" a="1"/>
  <c r="K100" i="1" s="1"/>
  <c r="I95" i="1" a="1"/>
  <c r="I95" i="1" s="1"/>
  <c r="G96" i="1" a="1"/>
  <c r="G96" i="1" s="1"/>
  <c r="M94" i="1" a="1"/>
  <c r="M94" i="1" s="1"/>
  <c r="C95" i="1" a="1"/>
  <c r="C95" i="1" s="1"/>
  <c r="H95" i="1" a="1"/>
  <c r="H95" i="1" s="1"/>
  <c r="K95" i="1" a="1"/>
  <c r="K95" i="1" s="1"/>
  <c r="M95" i="1" a="1"/>
  <c r="M95" i="1" s="1"/>
  <c r="O100" i="1" a="1"/>
  <c r="O100" i="1" s="1"/>
  <c r="G88" i="1" a="1"/>
  <c r="G88" i="1" s="1"/>
  <c r="I99" i="1" a="1"/>
  <c r="I99" i="1" s="1"/>
  <c r="D88" i="1" a="1"/>
  <c r="D88" i="1" s="1"/>
  <c r="O88" i="1" a="1"/>
  <c r="O88" i="1" s="1"/>
  <c r="B98" i="1" a="1"/>
  <c r="B98" i="1" s="1"/>
  <c r="C91" i="1" a="1"/>
  <c r="C91" i="1" s="1"/>
  <c r="K90" i="1" a="1"/>
  <c r="K90" i="1" s="1"/>
  <c r="J91" i="1" a="1"/>
  <c r="J91" i="1" s="1"/>
  <c r="D100" i="1" a="1"/>
  <c r="D100" i="1" s="1"/>
  <c r="L93" i="1" a="1"/>
  <c r="L93" i="1" s="1"/>
  <c r="E100" i="1" a="1"/>
  <c r="E100" i="1" s="1"/>
  <c r="F92" i="1" a="1"/>
  <c r="F92" i="1" s="1"/>
  <c r="N91" i="1" a="1"/>
  <c r="N91" i="1" s="1"/>
  <c r="M92" i="1" a="1"/>
  <c r="M92" i="1" s="1"/>
  <c r="B92" i="1" a="1"/>
  <c r="B92" i="1" s="1"/>
  <c r="H100" i="1" a="1"/>
  <c r="H100" i="1" s="1"/>
  <c r="I88" i="1" a="1"/>
  <c r="I88" i="1" s="1"/>
  <c r="L99" i="1" a="1"/>
  <c r="L99" i="1" s="1"/>
  <c r="C92" i="1" a="1"/>
  <c r="C92" i="1" s="1"/>
  <c r="G100" i="1" a="1"/>
  <c r="G100" i="1" s="1"/>
  <c r="J100" i="1" a="1"/>
  <c r="J100" i="1" s="1"/>
  <c r="C97" i="1" a="1"/>
  <c r="C97" i="1" s="1"/>
  <c r="H92" i="1" a="1"/>
  <c r="H92" i="1" s="1"/>
  <c r="F93" i="1" a="1"/>
  <c r="F93" i="1" s="1"/>
  <c r="C93" i="1" a="1"/>
  <c r="C93" i="1" s="1"/>
  <c r="N93" i="1" a="1"/>
  <c r="N93" i="1" s="1"/>
  <c r="H96" i="1" a="1"/>
  <c r="H96" i="1" s="1"/>
  <c r="O95" i="1" a="1"/>
  <c r="O95" i="1" s="1"/>
  <c r="J95" i="1" a="1"/>
  <c r="J95" i="1" s="1"/>
  <c r="I96" i="1" a="1"/>
  <c r="I96" i="1" s="1"/>
  <c r="E94" i="1" a="1"/>
  <c r="E94" i="1" s="1"/>
  <c r="F100" i="1" a="1"/>
  <c r="F100" i="1" s="1"/>
  <c r="E97" i="1" a="1"/>
  <c r="E97" i="1" s="1"/>
  <c r="M96" i="1" a="1"/>
  <c r="M96" i="1" s="1"/>
  <c r="L97" i="1" a="1"/>
  <c r="L97" i="1" s="1"/>
  <c r="N92" i="1" a="1"/>
  <c r="N92" i="1" s="1"/>
  <c r="I92" i="1" a="1"/>
  <c r="I92" i="1" s="1"/>
  <c r="H93" i="1" a="1"/>
  <c r="H93" i="1" s="1"/>
  <c r="E91" i="1" a="1"/>
  <c r="E91" i="1" s="1"/>
  <c r="M91" i="1" a="1"/>
  <c r="M91" i="1" s="1"/>
  <c r="K92" i="1" a="1"/>
  <c r="K92" i="1" s="1"/>
  <c r="B88" i="1" a="1"/>
  <c r="B88" i="1" s="1"/>
  <c r="B94" i="1" a="1"/>
  <c r="B94" i="1" s="1"/>
  <c r="G97" i="1" a="1"/>
  <c r="G97" i="1" s="1"/>
  <c r="E98" i="1" a="1"/>
  <c r="E98" i="1" s="1"/>
  <c r="B91" i="1" a="1"/>
  <c r="B91" i="1" s="1"/>
  <c r="O97" i="1" a="1"/>
  <c r="O97" i="1" s="1"/>
  <c r="M98" i="1" a="1"/>
  <c r="M98" i="1" s="1"/>
  <c r="N100" i="1" a="1"/>
  <c r="N100" i="1" s="1"/>
  <c r="I100" i="1" a="1"/>
  <c r="I100" i="1" s="1"/>
  <c r="H88" i="1" a="1"/>
  <c r="H88" i="1" s="1"/>
  <c r="D93" i="1" a="1"/>
  <c r="D93" i="1" s="1"/>
  <c r="K88" i="1" a="1"/>
  <c r="K88" i="1" s="1"/>
  <c r="N88" i="1" a="1"/>
  <c r="N88" i="1" s="1"/>
  <c r="F98" i="1" a="1"/>
  <c r="F98" i="1" s="1"/>
  <c r="M97" i="1" a="1"/>
  <c r="M97" i="1" s="1"/>
  <c r="H97" i="1" a="1"/>
  <c r="H97" i="1" s="1"/>
  <c r="G98" i="1" a="1"/>
  <c r="G98" i="1" s="1"/>
  <c r="D96" i="1" a="1"/>
  <c r="D96" i="1" s="1"/>
  <c r="B95" i="1" a="1"/>
  <c r="B95" i="1" s="1"/>
  <c r="L96" i="1" a="1"/>
  <c r="L96" i="1" s="1"/>
  <c r="J97" i="1" a="1"/>
  <c r="J97" i="1" s="1"/>
  <c r="M89" i="1" a="1"/>
  <c r="M89" i="1" s="1"/>
  <c r="H89" i="1" a="1"/>
  <c r="H89" i="1" s="1"/>
  <c r="G90" i="1" a="1"/>
  <c r="G90" i="1" s="1"/>
  <c r="H90" i="1" a="1"/>
  <c r="H90" i="1" s="1"/>
  <c r="C90" i="1" a="1"/>
  <c r="C90" i="1" s="1"/>
  <c r="O90" i="1" a="1"/>
  <c r="O90" i="1" s="1"/>
  <c r="G92" i="1" a="1"/>
  <c r="G92" i="1" s="1"/>
  <c r="J92" i="1" a="1"/>
  <c r="J92" i="1" s="1"/>
  <c r="B90" i="1" a="1"/>
  <c r="B9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<sst xmlns="http://schemas.openxmlformats.org/spreadsheetml/2006/main" count="320" uniqueCount="16">
  <si>
    <t>date</t>
  </si>
  <si>
    <t>3M</t>
  </si>
  <si>
    <t>6M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</si>
  <si>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</si>
  <si>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</si>
  <si>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</si>
  <si>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</si>
  <si>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</si>
  <si>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</si>
  <si>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</si>
  <si>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</si>
  <si>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</si>
  <si>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10Y</t>
  </si>
  <si>
    <t>3Y6M</t>
  </si>
  <si>
    <t/>
  </si>
  <si>
    <t>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</si>
</sst>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278D-2C96-42B7-ADD1-978FA51AFE39}">
  <dimension ref="A1:S1122"/>
  <sheetViews>
    <sheetView workbookViewId="0">
      <selection activeCell="P90" sqref="P90"/>
    </sheetView>
  </sheetViews>
  <sheetFormatPr defaultRowHeight="14.5" x14ac:dyDescent="0.35"/>
  <cols>
    <col min="1" max="1" width="10.08984375" bestFit="1" customWidth="1"/>
    <col min="19" max="19" width="10.08984375" bestFit="1" customWidth="1"/>
    <col min="24" max="24" width="20.81640625" bestFit="1" customWidth="1"/>
    <col min="25" max="25" width="9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</v>
      </c>
      <c r="O1" t="s">
        <v>12</v>
      </c>
    </row>
    <row r="2" spans="1:19" x14ac:dyDescent="0.35">
      <c r="A2" s="1">
        <v>42277</v>
      </c>
      <c r="B2">
        <v>2.89</v>
      </c>
      <c r="C2">
        <v>2.2000000000000002</v>
      </c>
      <c r="D2">
        <v>2.33</v>
      </c>
      <c r="E2">
        <v>2.4500000000000002</v>
      </c>
      <c r="F2">
        <v>2.57</v>
      </c>
      <c r="G2">
        <v>4.03</v>
      </c>
      <c r="H2">
        <v>4.7300000000000004</v>
      </c>
      <c r="I2">
        <v>5.54</v>
      </c>
      <c r="J2">
        <v>7.29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</row>
    <row r="3" spans="1:19" x14ac:dyDescent="0.35">
      <c r="A3" s="1">
        <v>42338</v>
      </c>
      <c r="B3">
        <v>3.1</v>
      </c>
      <c r="C3">
        <v>3.19</v>
      </c>
      <c r="D3">
        <v>3.35</v>
      </c>
      <c r="E3">
        <v>3.61</v>
      </c>
      <c r="F3">
        <v>3.88</v>
      </c>
      <c r="G3">
        <v>4.4000000000000004</v>
      </c>
      <c r="H3">
        <v>4.66</v>
      </c>
      <c r="I3">
        <v>4.93</v>
      </c>
      <c r="J3">
        <v>5.46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S3" s="1"/>
    </row>
    <row r="4" spans="1:19" x14ac:dyDescent="0.35">
      <c r="A4" s="1">
        <v>42369</v>
      </c>
      <c r="B4">
        <v>3.68</v>
      </c>
      <c r="C4">
        <v>2.67</v>
      </c>
      <c r="D4">
        <v>3.35</v>
      </c>
      <c r="E4">
        <v>3.61</v>
      </c>
      <c r="F4">
        <v>3.88</v>
      </c>
      <c r="G4">
        <v>4.4000000000000004</v>
      </c>
      <c r="H4">
        <v>4.66</v>
      </c>
      <c r="I4">
        <v>4.97</v>
      </c>
      <c r="J4">
        <v>4.97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S4" s="1"/>
    </row>
    <row r="5" spans="1:19" x14ac:dyDescent="0.35">
      <c r="A5" s="1">
        <v>42400</v>
      </c>
      <c r="B5">
        <v>2.4300000000000002</v>
      </c>
      <c r="C5">
        <v>2.67</v>
      </c>
      <c r="D5">
        <v>2.99</v>
      </c>
      <c r="E5">
        <v>3.32</v>
      </c>
      <c r="F5">
        <v>3.66</v>
      </c>
      <c r="G5">
        <v>4.33</v>
      </c>
      <c r="H5">
        <v>4.66</v>
      </c>
      <c r="I5">
        <v>5.0199999999999996</v>
      </c>
      <c r="J5">
        <v>2.76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S5" s="1"/>
    </row>
    <row r="6" spans="1:19" x14ac:dyDescent="0.35">
      <c r="A6" s="1">
        <v>42428</v>
      </c>
      <c r="B6">
        <v>2.4300000000000002</v>
      </c>
      <c r="C6">
        <v>2.59</v>
      </c>
      <c r="D6">
        <v>2.77</v>
      </c>
      <c r="E6">
        <v>3.18</v>
      </c>
      <c r="F6">
        <v>3.58</v>
      </c>
      <c r="G6">
        <v>4.4000000000000004</v>
      </c>
      <c r="H6">
        <v>4.8</v>
      </c>
      <c r="I6">
        <v>5.21</v>
      </c>
      <c r="J6">
        <v>6.09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S6" s="1"/>
    </row>
    <row r="7" spans="1:19" x14ac:dyDescent="0.35">
      <c r="A7" s="1">
        <v>42521</v>
      </c>
      <c r="B7">
        <v>2.02</v>
      </c>
      <c r="C7">
        <v>2.16</v>
      </c>
      <c r="D7">
        <v>2.4500000000000002</v>
      </c>
      <c r="E7">
        <v>2.91</v>
      </c>
      <c r="F7">
        <v>3.37</v>
      </c>
      <c r="G7">
        <v>4.29</v>
      </c>
      <c r="H7">
        <v>4.75</v>
      </c>
      <c r="I7">
        <v>5.21</v>
      </c>
      <c r="J7">
        <v>6.12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S7" s="1"/>
    </row>
    <row r="8" spans="1:19" x14ac:dyDescent="0.35">
      <c r="A8" s="1">
        <v>42551</v>
      </c>
      <c r="B8">
        <v>1.57</v>
      </c>
      <c r="C8">
        <v>2.27</v>
      </c>
      <c r="D8">
        <v>2.59</v>
      </c>
      <c r="E8">
        <v>2.76</v>
      </c>
      <c r="F8">
        <v>2.94</v>
      </c>
      <c r="G8">
        <v>3.63</v>
      </c>
      <c r="H8">
        <v>3.98</v>
      </c>
      <c r="I8">
        <v>5.21</v>
      </c>
      <c r="J8">
        <v>7.09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S8" s="1"/>
    </row>
    <row r="9" spans="1:19" x14ac:dyDescent="0.35">
      <c r="A9" s="1">
        <v>42643</v>
      </c>
      <c r="B9">
        <v>1.79</v>
      </c>
      <c r="C9">
        <v>2.15</v>
      </c>
      <c r="D9">
        <v>2.29</v>
      </c>
      <c r="E9">
        <v>2.37</v>
      </c>
      <c r="F9">
        <v>2.46</v>
      </c>
      <c r="G9">
        <v>2.62</v>
      </c>
      <c r="H9">
        <v>2.7</v>
      </c>
      <c r="I9">
        <v>2.87</v>
      </c>
      <c r="J9">
        <v>3.27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S9" s="1"/>
    </row>
    <row r="10" spans="1:19" x14ac:dyDescent="0.35">
      <c r="A10" s="1">
        <v>42674</v>
      </c>
      <c r="B10">
        <v>2.2000000000000002</v>
      </c>
      <c r="C10">
        <v>2.3199999999999998</v>
      </c>
      <c r="D10">
        <v>2.85</v>
      </c>
      <c r="E10">
        <v>3.38</v>
      </c>
      <c r="F10">
        <v>3.91</v>
      </c>
      <c r="G10">
        <v>4.97</v>
      </c>
      <c r="H10">
        <v>5.5</v>
      </c>
      <c r="I10">
        <v>5.98</v>
      </c>
      <c r="J10">
        <v>6.93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S10" s="1"/>
    </row>
    <row r="11" spans="1:19" x14ac:dyDescent="0.35">
      <c r="A11" s="1">
        <v>42704</v>
      </c>
      <c r="B11">
        <v>2.2000000000000002</v>
      </c>
      <c r="C11">
        <v>2.46</v>
      </c>
      <c r="D11">
        <v>2.97</v>
      </c>
      <c r="E11">
        <v>3.48</v>
      </c>
      <c r="F11">
        <v>3.98</v>
      </c>
      <c r="G11">
        <v>4.99</v>
      </c>
      <c r="H11">
        <v>5.5</v>
      </c>
      <c r="I11">
        <v>6.01</v>
      </c>
      <c r="J11">
        <v>7.03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S11" s="1"/>
    </row>
    <row r="12" spans="1:19" x14ac:dyDescent="0.35">
      <c r="A12" s="1">
        <v>42766</v>
      </c>
      <c r="B12">
        <v>2.85</v>
      </c>
      <c r="C12">
        <v>2.76</v>
      </c>
      <c r="D12">
        <v>3.22</v>
      </c>
      <c r="E12">
        <v>3.68</v>
      </c>
      <c r="F12">
        <v>4.13</v>
      </c>
      <c r="G12">
        <v>5.5</v>
      </c>
      <c r="H12">
        <v>5.5</v>
      </c>
      <c r="I12">
        <v>5.95</v>
      </c>
      <c r="J12">
        <v>6.42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S12" s="1"/>
    </row>
    <row r="13" spans="1:19" x14ac:dyDescent="0.35">
      <c r="A13" s="1">
        <v>42794</v>
      </c>
      <c r="B13">
        <v>3.12</v>
      </c>
      <c r="C13">
        <v>3.32</v>
      </c>
      <c r="D13">
        <v>3.75</v>
      </c>
      <c r="E13">
        <v>4.1900000000000004</v>
      </c>
      <c r="F13">
        <v>4.63</v>
      </c>
      <c r="G13">
        <v>5.5</v>
      </c>
      <c r="H13">
        <v>5.5</v>
      </c>
      <c r="I13">
        <v>5.77</v>
      </c>
      <c r="J13">
        <v>5.99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S13" s="1"/>
    </row>
    <row r="14" spans="1:19" x14ac:dyDescent="0.35">
      <c r="A14" s="1">
        <v>42825</v>
      </c>
      <c r="B14">
        <v>3.04</v>
      </c>
      <c r="C14">
        <v>3.78</v>
      </c>
      <c r="D14">
        <v>4.13</v>
      </c>
      <c r="E14">
        <v>4.4800000000000004</v>
      </c>
      <c r="F14">
        <v>4.82</v>
      </c>
      <c r="G14">
        <v>5.52</v>
      </c>
      <c r="H14">
        <v>5.5</v>
      </c>
      <c r="I14">
        <v>5.89</v>
      </c>
      <c r="J14">
        <v>6.49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S14" s="1"/>
    </row>
    <row r="15" spans="1:19" x14ac:dyDescent="0.35">
      <c r="A15" s="1">
        <v>42855</v>
      </c>
      <c r="B15">
        <v>3.06</v>
      </c>
      <c r="C15">
        <v>3.52</v>
      </c>
      <c r="D15">
        <v>5.52</v>
      </c>
      <c r="E15">
        <v>5.52</v>
      </c>
      <c r="F15">
        <v>5.52</v>
      </c>
      <c r="G15">
        <v>5.52</v>
      </c>
      <c r="H15">
        <v>5.52</v>
      </c>
      <c r="I15">
        <v>5.31</v>
      </c>
      <c r="J15">
        <v>5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S15" s="1"/>
    </row>
    <row r="16" spans="1:19" x14ac:dyDescent="0.35">
      <c r="A16" s="1">
        <v>42886</v>
      </c>
      <c r="B16">
        <v>3.03</v>
      </c>
      <c r="C16">
        <v>3.59</v>
      </c>
      <c r="D16">
        <v>4.01</v>
      </c>
      <c r="E16">
        <v>4.38</v>
      </c>
      <c r="F16">
        <v>4.74</v>
      </c>
      <c r="G16">
        <v>5.48</v>
      </c>
      <c r="H16">
        <v>5.85</v>
      </c>
      <c r="I16">
        <v>6.33</v>
      </c>
      <c r="J16">
        <v>7.34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S16" s="1"/>
    </row>
    <row r="17" spans="1:19" x14ac:dyDescent="0.35">
      <c r="A17" s="1">
        <v>42916</v>
      </c>
      <c r="B17">
        <v>3.03</v>
      </c>
      <c r="C17">
        <v>3.53</v>
      </c>
      <c r="D17">
        <v>4.01</v>
      </c>
      <c r="E17">
        <v>4.38</v>
      </c>
      <c r="F17">
        <v>4.74</v>
      </c>
      <c r="G17">
        <v>5.48</v>
      </c>
      <c r="H17">
        <v>5.85</v>
      </c>
      <c r="I17">
        <v>6.33</v>
      </c>
      <c r="J17">
        <v>7.34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S17" s="1"/>
    </row>
    <row r="18" spans="1:19" x14ac:dyDescent="0.35">
      <c r="A18" s="1">
        <v>42947</v>
      </c>
      <c r="B18">
        <v>3.21</v>
      </c>
      <c r="C18">
        <v>3.61</v>
      </c>
      <c r="D18">
        <v>4.01</v>
      </c>
      <c r="E18">
        <v>4.38</v>
      </c>
      <c r="F18">
        <v>4.74</v>
      </c>
      <c r="G18">
        <v>5.48</v>
      </c>
      <c r="H18">
        <v>5.85</v>
      </c>
      <c r="I18">
        <v>6.28</v>
      </c>
      <c r="J18">
        <v>7.18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S18" s="1"/>
    </row>
    <row r="19" spans="1:19" x14ac:dyDescent="0.35">
      <c r="A19" s="1">
        <v>42978</v>
      </c>
      <c r="B19">
        <v>3.21</v>
      </c>
      <c r="C19">
        <v>3.46</v>
      </c>
      <c r="D19">
        <v>3.94</v>
      </c>
      <c r="E19">
        <v>4.33</v>
      </c>
      <c r="F19">
        <v>4.71</v>
      </c>
      <c r="G19">
        <v>5.48</v>
      </c>
      <c r="H19">
        <v>5.86</v>
      </c>
      <c r="I19">
        <v>6.25</v>
      </c>
      <c r="J19">
        <v>7.03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S19" s="1"/>
    </row>
    <row r="20" spans="1:19" x14ac:dyDescent="0.35">
      <c r="A20" s="1">
        <v>43131</v>
      </c>
      <c r="B20">
        <v>3.3</v>
      </c>
      <c r="C20">
        <v>3.82</v>
      </c>
      <c r="D20">
        <v>3.95</v>
      </c>
      <c r="E20">
        <v>4.34</v>
      </c>
      <c r="F20">
        <v>4.72</v>
      </c>
      <c r="G20">
        <v>5.49</v>
      </c>
      <c r="H20">
        <v>5.87</v>
      </c>
      <c r="I20">
        <v>6.41</v>
      </c>
      <c r="J20">
        <v>7.52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S20" s="1"/>
    </row>
    <row r="21" spans="1:19" x14ac:dyDescent="0.35">
      <c r="A21" s="1">
        <v>43159</v>
      </c>
      <c r="B21">
        <v>3.09</v>
      </c>
      <c r="C21">
        <v>3.12</v>
      </c>
      <c r="D21">
        <v>3.6</v>
      </c>
      <c r="E21">
        <v>4.07</v>
      </c>
      <c r="F21">
        <v>4.54</v>
      </c>
      <c r="G21">
        <v>5.49</v>
      </c>
      <c r="H21">
        <v>5.96</v>
      </c>
      <c r="I21">
        <v>6.37</v>
      </c>
      <c r="J21">
        <v>7.16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S21" s="1"/>
    </row>
    <row r="22" spans="1:19" x14ac:dyDescent="0.35">
      <c r="A22" s="1">
        <v>43190</v>
      </c>
      <c r="B22">
        <v>2.93</v>
      </c>
      <c r="C22">
        <v>3.11</v>
      </c>
      <c r="D22">
        <v>3.58</v>
      </c>
      <c r="E22">
        <v>4.0599999999999996</v>
      </c>
      <c r="F22">
        <v>5.54</v>
      </c>
      <c r="G22">
        <v>5.49</v>
      </c>
      <c r="H22">
        <v>5.97</v>
      </c>
      <c r="I22">
        <v>6.42</v>
      </c>
      <c r="J22">
        <v>7.33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S22" s="1"/>
    </row>
    <row r="23" spans="1:19" x14ac:dyDescent="0.35">
      <c r="A23" s="1">
        <v>43220</v>
      </c>
      <c r="B23">
        <v>2.97</v>
      </c>
      <c r="C23">
        <v>3.09</v>
      </c>
      <c r="D23">
        <v>3.57</v>
      </c>
      <c r="E23">
        <v>4.05</v>
      </c>
      <c r="F23">
        <v>4.53</v>
      </c>
      <c r="G23">
        <v>5.49</v>
      </c>
      <c r="H23">
        <v>5.97</v>
      </c>
      <c r="I23">
        <v>6.41</v>
      </c>
      <c r="J23">
        <v>7.28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S23" s="1"/>
    </row>
    <row r="24" spans="1:19" x14ac:dyDescent="0.35">
      <c r="A24" s="1">
        <v>43251</v>
      </c>
      <c r="B24">
        <v>3.08</v>
      </c>
      <c r="C24">
        <v>3.19</v>
      </c>
      <c r="D24">
        <v>3.57</v>
      </c>
      <c r="E24">
        <v>4.05</v>
      </c>
      <c r="F24">
        <v>4.57</v>
      </c>
      <c r="G24">
        <v>5.49</v>
      </c>
      <c r="H24">
        <v>5.95</v>
      </c>
      <c r="I24">
        <v>6.37</v>
      </c>
      <c r="J24">
        <v>7.17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S24" s="1"/>
    </row>
    <row r="25" spans="1:19" x14ac:dyDescent="0.35">
      <c r="A25" s="1">
        <v>43281</v>
      </c>
      <c r="B25">
        <v>2.97</v>
      </c>
      <c r="C25">
        <v>2.83</v>
      </c>
      <c r="D25">
        <v>6.57</v>
      </c>
      <c r="E25">
        <v>4.05</v>
      </c>
      <c r="F25">
        <v>4.72</v>
      </c>
      <c r="G25">
        <v>5.49</v>
      </c>
      <c r="H25">
        <v>5.87</v>
      </c>
      <c r="I25">
        <v>6.02</v>
      </c>
      <c r="J25">
        <v>6.17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S25" s="1"/>
    </row>
    <row r="26" spans="1:19" x14ac:dyDescent="0.35">
      <c r="A26" s="1">
        <v>43312</v>
      </c>
      <c r="B26">
        <v>2.69</v>
      </c>
      <c r="C26">
        <v>2.98</v>
      </c>
      <c r="D26">
        <v>6.49</v>
      </c>
      <c r="E26">
        <v>3.99</v>
      </c>
      <c r="F26">
        <v>4.49</v>
      </c>
      <c r="G26">
        <v>5.49</v>
      </c>
      <c r="H26">
        <v>5.99</v>
      </c>
      <c r="I26">
        <v>6.51</v>
      </c>
      <c r="J26">
        <v>7.54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S26" s="1"/>
    </row>
    <row r="27" spans="1:19" x14ac:dyDescent="0.35">
      <c r="A27" s="1">
        <v>43343</v>
      </c>
      <c r="B27">
        <v>2.71</v>
      </c>
      <c r="C27">
        <v>2.98</v>
      </c>
      <c r="D27">
        <v>3.49</v>
      </c>
      <c r="E27">
        <v>3.99</v>
      </c>
      <c r="F27">
        <v>4.49</v>
      </c>
      <c r="G27">
        <v>5.49</v>
      </c>
      <c r="H27">
        <v>5.99</v>
      </c>
      <c r="I27">
        <v>6.5</v>
      </c>
      <c r="J27">
        <v>7.52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S27" s="1"/>
    </row>
    <row r="28" spans="1:19" x14ac:dyDescent="0.35">
      <c r="A28" s="1">
        <v>43373</v>
      </c>
      <c r="B28">
        <v>2.59</v>
      </c>
      <c r="C28">
        <v>2.78</v>
      </c>
      <c r="D28">
        <v>3.32</v>
      </c>
      <c r="E28">
        <v>3.87</v>
      </c>
      <c r="F28">
        <v>4.41</v>
      </c>
      <c r="G28">
        <v>5.49</v>
      </c>
      <c r="H28">
        <v>6.03</v>
      </c>
      <c r="I28">
        <v>6.55</v>
      </c>
      <c r="J28">
        <v>5.57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S28" s="1"/>
    </row>
    <row r="29" spans="1:19" x14ac:dyDescent="0.35">
      <c r="A29" s="1">
        <v>43404</v>
      </c>
      <c r="B29">
        <v>2.54</v>
      </c>
      <c r="C29">
        <v>2.91</v>
      </c>
      <c r="D29">
        <v>3.78</v>
      </c>
      <c r="E29">
        <v>4.47</v>
      </c>
      <c r="F29">
        <v>4.96</v>
      </c>
      <c r="G29">
        <v>5.53</v>
      </c>
      <c r="H29">
        <v>5.71</v>
      </c>
      <c r="I29">
        <v>5.84</v>
      </c>
      <c r="J29">
        <v>6.03</v>
      </c>
      <c r="K29">
        <v>6.15</v>
      </c>
      <c r="L29">
        <v>6.24</v>
      </c>
      <c r="M29">
        <v>6.31</v>
      </c>
      <c r="N29">
        <v>6.36</v>
      </c>
      <c r="O29">
        <v>6.4</v>
      </c>
      <c r="S29" s="1"/>
    </row>
    <row r="30" spans="1:19" x14ac:dyDescent="0.35">
      <c r="A30" s="1">
        <v>43434</v>
      </c>
      <c r="B30">
        <v>2.56</v>
      </c>
      <c r="C30">
        <v>2.89</v>
      </c>
      <c r="D30">
        <v>3.73</v>
      </c>
      <c r="E30">
        <v>4.4400000000000004</v>
      </c>
      <c r="F30">
        <v>4.9400000000000004</v>
      </c>
      <c r="G30">
        <v>5.55</v>
      </c>
      <c r="H30">
        <v>5.73</v>
      </c>
      <c r="I30">
        <v>5.87</v>
      </c>
      <c r="J30">
        <v>6.06</v>
      </c>
      <c r="K30">
        <v>6.19</v>
      </c>
      <c r="L30">
        <v>6.29</v>
      </c>
      <c r="M30">
        <v>6.36</v>
      </c>
      <c r="N30">
        <v>6.41</v>
      </c>
      <c r="O30">
        <v>6.45</v>
      </c>
      <c r="S30" s="1"/>
    </row>
    <row r="31" spans="1:19" x14ac:dyDescent="0.35">
      <c r="A31" s="1">
        <v>43465</v>
      </c>
      <c r="B31">
        <v>2.65</v>
      </c>
      <c r="C31">
        <v>2.61</v>
      </c>
      <c r="D31">
        <v>3.28</v>
      </c>
      <c r="E31">
        <v>4.05</v>
      </c>
      <c r="F31">
        <v>4.6399999999999997</v>
      </c>
      <c r="G31">
        <v>5.37</v>
      </c>
      <c r="H31">
        <v>5.6</v>
      </c>
      <c r="I31">
        <v>5.77</v>
      </c>
      <c r="J31">
        <v>6.01</v>
      </c>
      <c r="K31">
        <v>6.17</v>
      </c>
      <c r="L31">
        <v>6.29</v>
      </c>
      <c r="M31">
        <v>6.38</v>
      </c>
      <c r="N31">
        <v>6.44</v>
      </c>
      <c r="O31">
        <v>6.5</v>
      </c>
      <c r="S31" s="1"/>
    </row>
    <row r="32" spans="1:19" x14ac:dyDescent="0.35">
      <c r="A32" s="1">
        <v>43496</v>
      </c>
      <c r="B32">
        <v>2.63</v>
      </c>
      <c r="C32">
        <v>2.37</v>
      </c>
      <c r="D32">
        <v>2.97</v>
      </c>
      <c r="E32">
        <v>3.8</v>
      </c>
      <c r="F32">
        <v>4.47</v>
      </c>
      <c r="G32">
        <v>5.31</v>
      </c>
      <c r="H32">
        <v>5.57</v>
      </c>
      <c r="I32">
        <v>5.77</v>
      </c>
      <c r="J32">
        <v>6.05</v>
      </c>
      <c r="K32">
        <v>6.23</v>
      </c>
      <c r="L32">
        <v>6.37</v>
      </c>
      <c r="M32">
        <v>6.47</v>
      </c>
      <c r="N32">
        <v>6.54</v>
      </c>
      <c r="O32">
        <v>6.6</v>
      </c>
      <c r="S32" s="1"/>
    </row>
    <row r="33" spans="1:19" x14ac:dyDescent="0.35">
      <c r="A33" s="1">
        <v>43524</v>
      </c>
      <c r="B33">
        <v>2.65</v>
      </c>
      <c r="C33">
        <v>2.4</v>
      </c>
      <c r="D33">
        <v>2.88</v>
      </c>
      <c r="E33">
        <v>3.56</v>
      </c>
      <c r="F33">
        <v>4.12</v>
      </c>
      <c r="G33">
        <v>4.82</v>
      </c>
      <c r="H33">
        <v>5.04</v>
      </c>
      <c r="I33">
        <v>5.2</v>
      </c>
      <c r="J33">
        <v>5.44</v>
      </c>
      <c r="K33">
        <v>5.59</v>
      </c>
      <c r="L33">
        <v>5.7</v>
      </c>
      <c r="M33">
        <v>5.79</v>
      </c>
      <c r="N33">
        <v>5.85</v>
      </c>
      <c r="O33">
        <v>5.9</v>
      </c>
      <c r="S33" s="1"/>
    </row>
    <row r="34" spans="1:19" x14ac:dyDescent="0.35">
      <c r="A34" s="1">
        <v>43555</v>
      </c>
      <c r="B34">
        <v>2.67</v>
      </c>
      <c r="C34">
        <v>2.37</v>
      </c>
      <c r="D34">
        <v>3.01</v>
      </c>
      <c r="E34">
        <v>3.91</v>
      </c>
      <c r="F34">
        <v>4.63</v>
      </c>
      <c r="G34">
        <v>5.54</v>
      </c>
      <c r="H34">
        <v>5.83</v>
      </c>
      <c r="I34">
        <v>6.04</v>
      </c>
      <c r="J34">
        <v>6.35</v>
      </c>
      <c r="K34">
        <v>6.55</v>
      </c>
      <c r="L34">
        <v>6.69</v>
      </c>
      <c r="M34">
        <v>6.8</v>
      </c>
      <c r="N34">
        <v>6.89</v>
      </c>
      <c r="O34">
        <v>6.95</v>
      </c>
      <c r="S34" s="1"/>
    </row>
    <row r="35" spans="1:19" x14ac:dyDescent="0.35">
      <c r="A35" s="1">
        <v>43585</v>
      </c>
      <c r="B35">
        <v>2.6</v>
      </c>
      <c r="C35">
        <v>2.34</v>
      </c>
      <c r="D35">
        <v>2.99</v>
      </c>
      <c r="E35">
        <v>3.86</v>
      </c>
      <c r="F35">
        <v>4.5599999999999996</v>
      </c>
      <c r="G35">
        <v>5.44</v>
      </c>
      <c r="H35">
        <v>5.71</v>
      </c>
      <c r="I35">
        <v>5.92</v>
      </c>
      <c r="J35">
        <v>6.21</v>
      </c>
      <c r="K35">
        <v>6.41</v>
      </c>
      <c r="L35">
        <v>6.55</v>
      </c>
      <c r="M35">
        <v>6.65</v>
      </c>
      <c r="N35">
        <v>6.73</v>
      </c>
      <c r="O35">
        <v>6.8</v>
      </c>
      <c r="S35" s="1"/>
    </row>
    <row r="36" spans="1:19" x14ac:dyDescent="0.35">
      <c r="A36" s="1">
        <v>43616</v>
      </c>
      <c r="B36">
        <v>2.34</v>
      </c>
      <c r="C36">
        <v>2.77</v>
      </c>
      <c r="D36">
        <v>3.52</v>
      </c>
      <c r="E36">
        <v>4.0599999999999996</v>
      </c>
      <c r="F36">
        <v>4.43</v>
      </c>
      <c r="G36">
        <v>4.8499999999999996</v>
      </c>
      <c r="H36">
        <v>4.9800000000000004</v>
      </c>
      <c r="I36">
        <v>5.07</v>
      </c>
      <c r="J36">
        <v>5.21</v>
      </c>
      <c r="K36">
        <v>5.3</v>
      </c>
      <c r="L36">
        <v>5.36</v>
      </c>
      <c r="M36">
        <v>5.41</v>
      </c>
      <c r="N36">
        <v>5.45</v>
      </c>
      <c r="O36">
        <v>5.48</v>
      </c>
      <c r="S36" s="1"/>
    </row>
    <row r="37" spans="1:19" x14ac:dyDescent="0.35">
      <c r="A37" s="1">
        <v>43646</v>
      </c>
      <c r="B37">
        <v>2.09</v>
      </c>
      <c r="C37">
        <v>2.66</v>
      </c>
      <c r="D37">
        <v>3.55</v>
      </c>
      <c r="E37">
        <v>4.1399999999999997</v>
      </c>
      <c r="F37">
        <v>4.53</v>
      </c>
      <c r="G37">
        <v>4.97</v>
      </c>
      <c r="H37">
        <v>5.1100000000000003</v>
      </c>
      <c r="I37">
        <v>5.21</v>
      </c>
      <c r="J37">
        <v>5.35</v>
      </c>
      <c r="K37">
        <v>5.44</v>
      </c>
      <c r="L37">
        <v>5.51</v>
      </c>
      <c r="M37">
        <v>5.56</v>
      </c>
      <c r="N37">
        <v>5.6</v>
      </c>
      <c r="O37">
        <v>5.63</v>
      </c>
      <c r="S37" s="1"/>
    </row>
    <row r="38" spans="1:19" x14ac:dyDescent="0.35">
      <c r="A38" s="1">
        <v>43677</v>
      </c>
      <c r="B38">
        <v>2.1</v>
      </c>
      <c r="C38">
        <v>3.2</v>
      </c>
      <c r="D38">
        <v>4.4000000000000004</v>
      </c>
      <c r="E38">
        <v>4.96</v>
      </c>
      <c r="F38">
        <v>5.26</v>
      </c>
      <c r="G38">
        <v>5.57</v>
      </c>
      <c r="H38">
        <v>5.65</v>
      </c>
      <c r="I38">
        <v>5.7249999999999996</v>
      </c>
      <c r="J38">
        <v>5.81</v>
      </c>
      <c r="K38">
        <v>5.87</v>
      </c>
      <c r="L38">
        <v>5.91</v>
      </c>
      <c r="M38">
        <v>5.94</v>
      </c>
      <c r="N38">
        <v>5.97</v>
      </c>
      <c r="O38">
        <v>5.99</v>
      </c>
      <c r="S38" s="1"/>
    </row>
    <row r="39" spans="1:19" x14ac:dyDescent="0.35">
      <c r="A39" s="1">
        <v>43708</v>
      </c>
      <c r="B39">
        <v>2.42</v>
      </c>
      <c r="C39">
        <v>2.3199999999999998</v>
      </c>
      <c r="D39">
        <v>2.94</v>
      </c>
      <c r="E39">
        <v>3.68</v>
      </c>
      <c r="F39">
        <v>4.26</v>
      </c>
      <c r="G39">
        <v>4.9800000000000004</v>
      </c>
      <c r="H39">
        <v>5.2</v>
      </c>
      <c r="I39">
        <v>5.37</v>
      </c>
      <c r="J39">
        <v>5.61</v>
      </c>
      <c r="K39">
        <v>5.77</v>
      </c>
      <c r="L39">
        <v>5.88</v>
      </c>
      <c r="M39">
        <v>5.97</v>
      </c>
      <c r="N39">
        <v>6.03</v>
      </c>
      <c r="O39">
        <v>6.09</v>
      </c>
      <c r="S39" s="1"/>
    </row>
    <row r="40" spans="1:19" x14ac:dyDescent="0.35">
      <c r="A40" s="1">
        <v>43738</v>
      </c>
      <c r="B40">
        <v>2.1</v>
      </c>
      <c r="C40">
        <v>3.28</v>
      </c>
      <c r="D40">
        <v>4.75</v>
      </c>
      <c r="E40">
        <v>5.57</v>
      </c>
      <c r="F40">
        <v>6.06</v>
      </c>
      <c r="G40">
        <v>6.6</v>
      </c>
      <c r="H40">
        <v>6.75</v>
      </c>
      <c r="I40">
        <v>6.87</v>
      </c>
      <c r="J40">
        <v>7.03</v>
      </c>
      <c r="K40">
        <v>7.14</v>
      </c>
      <c r="L40">
        <v>7.22</v>
      </c>
      <c r="M40">
        <v>7.28</v>
      </c>
      <c r="N40">
        <v>7.33</v>
      </c>
      <c r="O40">
        <v>7.37</v>
      </c>
      <c r="S40" s="1"/>
    </row>
    <row r="41" spans="1:19" x14ac:dyDescent="0.35">
      <c r="A41" s="1">
        <v>43769</v>
      </c>
      <c r="B41">
        <v>2.4500000000000002</v>
      </c>
      <c r="C41">
        <v>2.71</v>
      </c>
      <c r="D41">
        <v>3.29</v>
      </c>
      <c r="E41">
        <v>3.77</v>
      </c>
      <c r="F41">
        <v>4.0999999999999996</v>
      </c>
      <c r="G41">
        <v>4.49</v>
      </c>
      <c r="H41">
        <v>4.6100000000000003</v>
      </c>
      <c r="I41">
        <v>4.7</v>
      </c>
      <c r="J41">
        <v>4.83</v>
      </c>
      <c r="K41">
        <v>4.92</v>
      </c>
      <c r="L41">
        <v>4.9800000000000004</v>
      </c>
      <c r="M41">
        <v>5.0199999999999996</v>
      </c>
      <c r="N41">
        <v>5.0599999999999996</v>
      </c>
      <c r="O41">
        <v>5.09</v>
      </c>
      <c r="S41" s="1"/>
    </row>
    <row r="42" spans="1:19" x14ac:dyDescent="0.35">
      <c r="A42" s="1">
        <v>43861</v>
      </c>
      <c r="B42">
        <v>2.57</v>
      </c>
      <c r="C42">
        <v>2.34</v>
      </c>
      <c r="D42">
        <v>2.9</v>
      </c>
      <c r="E42">
        <v>3.66</v>
      </c>
      <c r="F42">
        <v>4.2699999999999996</v>
      </c>
      <c r="G42">
        <v>5.04</v>
      </c>
      <c r="H42">
        <v>5.28</v>
      </c>
      <c r="I42">
        <v>5.46</v>
      </c>
      <c r="J42">
        <v>5.71</v>
      </c>
      <c r="K42">
        <v>5.88</v>
      </c>
      <c r="L42">
        <v>6</v>
      </c>
      <c r="M42">
        <v>6.1</v>
      </c>
      <c r="N42">
        <v>6.17</v>
      </c>
      <c r="O42">
        <v>6.22</v>
      </c>
      <c r="S42" s="1"/>
    </row>
    <row r="43" spans="1:19" x14ac:dyDescent="0.35">
      <c r="A43" s="1">
        <v>43889</v>
      </c>
      <c r="B43">
        <v>2.4900000000000002</v>
      </c>
      <c r="C43">
        <v>2.74</v>
      </c>
      <c r="D43">
        <v>3.32</v>
      </c>
      <c r="E43">
        <v>3.8</v>
      </c>
      <c r="F43">
        <v>4.13</v>
      </c>
      <c r="G43">
        <v>4.53</v>
      </c>
      <c r="H43">
        <v>4.6500000000000004</v>
      </c>
      <c r="I43">
        <v>4.74</v>
      </c>
      <c r="J43">
        <v>4.87</v>
      </c>
      <c r="K43">
        <v>4.96</v>
      </c>
      <c r="L43">
        <v>5.0199999999999996</v>
      </c>
      <c r="M43">
        <v>5.07</v>
      </c>
      <c r="N43">
        <v>5.0999999999999996</v>
      </c>
      <c r="O43">
        <v>5.13</v>
      </c>
      <c r="S43" s="1"/>
    </row>
    <row r="44" spans="1:19" x14ac:dyDescent="0.35">
      <c r="A44" s="1">
        <v>43951</v>
      </c>
      <c r="B44">
        <v>2.02</v>
      </c>
      <c r="C44">
        <v>2.5099999999999998</v>
      </c>
      <c r="D44">
        <v>3.54</v>
      </c>
      <c r="E44">
        <v>4.33</v>
      </c>
      <c r="F44">
        <v>4.8899999999999997</v>
      </c>
      <c r="G44">
        <v>5.54</v>
      </c>
      <c r="H44">
        <v>5.74</v>
      </c>
      <c r="I44">
        <v>5.89</v>
      </c>
      <c r="J44">
        <v>6.1</v>
      </c>
      <c r="K44">
        <v>6.24</v>
      </c>
      <c r="L44">
        <v>6.34</v>
      </c>
      <c r="M44">
        <v>6.42</v>
      </c>
      <c r="N44">
        <v>6.47</v>
      </c>
      <c r="O44">
        <v>6.52</v>
      </c>
      <c r="S44" s="1"/>
    </row>
    <row r="45" spans="1:19" x14ac:dyDescent="0.35">
      <c r="A45" s="1">
        <v>43982</v>
      </c>
      <c r="B45">
        <v>2.19</v>
      </c>
      <c r="C45">
        <v>2.84</v>
      </c>
      <c r="D45">
        <v>3.92</v>
      </c>
      <c r="E45">
        <v>4.6500000000000004</v>
      </c>
      <c r="F45">
        <v>5.14</v>
      </c>
      <c r="G45">
        <v>5.7</v>
      </c>
      <c r="H45">
        <v>5.87</v>
      </c>
      <c r="I45">
        <v>6</v>
      </c>
      <c r="J45">
        <v>6.17</v>
      </c>
      <c r="K45">
        <v>6.29</v>
      </c>
      <c r="L45">
        <v>6.38</v>
      </c>
      <c r="M45">
        <v>6.44</v>
      </c>
      <c r="N45">
        <v>6.49</v>
      </c>
      <c r="O45">
        <v>6.53</v>
      </c>
      <c r="S45" s="1"/>
    </row>
    <row r="46" spans="1:19" x14ac:dyDescent="0.35">
      <c r="A46" s="1">
        <v>44012</v>
      </c>
      <c r="B46">
        <v>2.3199999999999998</v>
      </c>
      <c r="C46">
        <v>2.78</v>
      </c>
      <c r="D46">
        <v>3.69</v>
      </c>
      <c r="E46">
        <v>4.3600000000000003</v>
      </c>
      <c r="F46">
        <v>4.82</v>
      </c>
      <c r="G46">
        <v>5.36</v>
      </c>
      <c r="H46">
        <v>5.52</v>
      </c>
      <c r="I46">
        <v>5.65</v>
      </c>
      <c r="J46">
        <v>5.82</v>
      </c>
      <c r="K46">
        <v>5.94</v>
      </c>
      <c r="L46">
        <v>6.02</v>
      </c>
      <c r="M46">
        <v>6.08</v>
      </c>
      <c r="N46">
        <v>6.13</v>
      </c>
      <c r="O46">
        <v>6.17</v>
      </c>
      <c r="S46" s="1"/>
    </row>
    <row r="47" spans="1:19" x14ac:dyDescent="0.35">
      <c r="A47" s="1">
        <v>44043</v>
      </c>
      <c r="B47">
        <v>2.48</v>
      </c>
      <c r="C47">
        <v>2.37</v>
      </c>
      <c r="D47">
        <v>3</v>
      </c>
      <c r="E47">
        <v>3.78</v>
      </c>
      <c r="F47">
        <v>4.38</v>
      </c>
      <c r="G47">
        <v>5.13</v>
      </c>
      <c r="H47">
        <v>5.37</v>
      </c>
      <c r="I47">
        <v>5.54</v>
      </c>
      <c r="J47">
        <v>5.79</v>
      </c>
      <c r="K47">
        <v>5.96</v>
      </c>
      <c r="L47">
        <v>6.08</v>
      </c>
      <c r="M47">
        <v>6.16</v>
      </c>
      <c r="N47">
        <v>6.23</v>
      </c>
      <c r="O47">
        <v>6.29</v>
      </c>
      <c r="S47" s="1"/>
    </row>
    <row r="48" spans="1:19" x14ac:dyDescent="0.35">
      <c r="A48" s="1">
        <v>44104</v>
      </c>
      <c r="B48">
        <v>1.74</v>
      </c>
      <c r="C48">
        <v>1.86</v>
      </c>
      <c r="D48">
        <v>2.78</v>
      </c>
      <c r="E48">
        <v>3.7</v>
      </c>
      <c r="F48">
        <v>4.3899999999999997</v>
      </c>
      <c r="G48">
        <v>5.23</v>
      </c>
      <c r="H48">
        <v>5.49</v>
      </c>
      <c r="I48">
        <v>5.68</v>
      </c>
      <c r="J48">
        <v>5.96</v>
      </c>
      <c r="K48">
        <v>6.15</v>
      </c>
      <c r="L48">
        <v>6.28</v>
      </c>
      <c r="M48">
        <v>6.38</v>
      </c>
      <c r="N48">
        <v>6.45</v>
      </c>
      <c r="O48">
        <v>6.52</v>
      </c>
      <c r="S48" s="1"/>
    </row>
    <row r="49" spans="1:19" x14ac:dyDescent="0.35">
      <c r="A49" s="1">
        <v>44196</v>
      </c>
      <c r="B49">
        <v>1.6</v>
      </c>
      <c r="C49">
        <v>1.76</v>
      </c>
      <c r="D49">
        <v>2.72</v>
      </c>
      <c r="E49">
        <v>3.66</v>
      </c>
      <c r="F49">
        <v>4.3600000000000003</v>
      </c>
      <c r="G49">
        <v>5.22</v>
      </c>
      <c r="H49">
        <v>5.48</v>
      </c>
      <c r="I49">
        <v>5.68</v>
      </c>
      <c r="J49">
        <v>5.96</v>
      </c>
      <c r="K49">
        <v>6.15</v>
      </c>
      <c r="L49">
        <v>6.29</v>
      </c>
      <c r="M49">
        <v>6.39</v>
      </c>
      <c r="N49">
        <v>6.46</v>
      </c>
      <c r="O49">
        <v>6.53</v>
      </c>
      <c r="S49" s="1"/>
    </row>
    <row r="50" spans="1:19" x14ac:dyDescent="0.35">
      <c r="A50" s="1">
        <v>44227</v>
      </c>
      <c r="B50">
        <v>1.61</v>
      </c>
      <c r="C50">
        <v>1.77</v>
      </c>
      <c r="D50">
        <v>2.72</v>
      </c>
      <c r="E50">
        <v>3.66</v>
      </c>
      <c r="F50">
        <v>4.37</v>
      </c>
      <c r="G50">
        <v>5.22</v>
      </c>
      <c r="H50">
        <v>5.48</v>
      </c>
      <c r="I50">
        <v>5.68</v>
      </c>
      <c r="J50">
        <v>5.96</v>
      </c>
      <c r="K50">
        <v>6.15</v>
      </c>
      <c r="L50">
        <v>6.29</v>
      </c>
      <c r="M50">
        <v>6.39</v>
      </c>
      <c r="N50">
        <v>6.46</v>
      </c>
      <c r="O50">
        <v>6.53</v>
      </c>
      <c r="S50" s="1"/>
    </row>
    <row r="51" spans="1:19" x14ac:dyDescent="0.35">
      <c r="A51" s="1">
        <v>44255</v>
      </c>
      <c r="B51">
        <v>1.25</v>
      </c>
      <c r="C51">
        <v>1.19</v>
      </c>
      <c r="D51">
        <v>1.89</v>
      </c>
      <c r="E51">
        <v>2.7</v>
      </c>
      <c r="F51">
        <v>3.32</v>
      </c>
      <c r="G51">
        <v>4.09</v>
      </c>
      <c r="H51">
        <v>4.33</v>
      </c>
      <c r="I51">
        <v>4.51</v>
      </c>
      <c r="J51">
        <v>4.7699999999999996</v>
      </c>
      <c r="K51">
        <v>4.9400000000000004</v>
      </c>
      <c r="L51">
        <v>5.0599999999999996</v>
      </c>
      <c r="M51">
        <v>5.15</v>
      </c>
      <c r="N51">
        <v>5.22</v>
      </c>
      <c r="O51">
        <v>5.28</v>
      </c>
      <c r="S51" s="1"/>
    </row>
    <row r="52" spans="1:19" x14ac:dyDescent="0.35">
      <c r="A52" s="1">
        <v>44316</v>
      </c>
      <c r="B52">
        <v>1.95</v>
      </c>
      <c r="C52">
        <v>1.71</v>
      </c>
      <c r="D52">
        <v>2.19</v>
      </c>
      <c r="E52">
        <v>2.89</v>
      </c>
      <c r="F52">
        <v>3.44</v>
      </c>
      <c r="G52">
        <v>4.1500000000000004</v>
      </c>
      <c r="H52">
        <v>4.3600000000000003</v>
      </c>
      <c r="I52">
        <v>4.53</v>
      </c>
      <c r="J52">
        <v>4.76</v>
      </c>
      <c r="K52">
        <v>4.92</v>
      </c>
      <c r="L52">
        <v>5.03</v>
      </c>
      <c r="M52">
        <v>5.1100000000000003</v>
      </c>
      <c r="N52">
        <v>5.18</v>
      </c>
      <c r="O52">
        <v>5.23</v>
      </c>
      <c r="S52" s="1"/>
    </row>
    <row r="53" spans="1:19" x14ac:dyDescent="0.35">
      <c r="A53" s="1">
        <v>44347</v>
      </c>
      <c r="B53">
        <v>1.04</v>
      </c>
      <c r="C53">
        <v>1.01</v>
      </c>
      <c r="D53">
        <v>1.74</v>
      </c>
      <c r="E53">
        <v>2.56</v>
      </c>
      <c r="F53">
        <v>3.2</v>
      </c>
      <c r="G53">
        <v>3.98</v>
      </c>
      <c r="H53">
        <v>4.22</v>
      </c>
      <c r="I53">
        <v>4.41</v>
      </c>
      <c r="J53">
        <v>4.66</v>
      </c>
      <c r="K53">
        <v>4.84</v>
      </c>
      <c r="L53">
        <v>4.96</v>
      </c>
      <c r="M53">
        <v>5.05</v>
      </c>
      <c r="N53">
        <v>5.12</v>
      </c>
      <c r="O53">
        <v>5.18</v>
      </c>
      <c r="S53" s="1"/>
    </row>
    <row r="54" spans="1:19" x14ac:dyDescent="0.35">
      <c r="A54" s="1">
        <v>44377</v>
      </c>
      <c r="B54">
        <v>1.25</v>
      </c>
      <c r="C54">
        <v>1.27</v>
      </c>
      <c r="D54">
        <v>2.08</v>
      </c>
      <c r="E54">
        <v>2.94</v>
      </c>
      <c r="F54">
        <v>3.6</v>
      </c>
      <c r="G54">
        <v>4.4000000000000004</v>
      </c>
      <c r="H54">
        <v>4.6500000000000004</v>
      </c>
      <c r="I54">
        <v>4.84</v>
      </c>
      <c r="J54">
        <v>5.1100000000000003</v>
      </c>
      <c r="K54">
        <v>5.28</v>
      </c>
      <c r="L54">
        <v>5.41</v>
      </c>
      <c r="M54">
        <v>5.5</v>
      </c>
      <c r="N54">
        <v>5.58</v>
      </c>
      <c r="O54">
        <v>5.64</v>
      </c>
      <c r="S54" s="1"/>
    </row>
    <row r="55" spans="1:19" x14ac:dyDescent="0.35">
      <c r="A55" s="1">
        <v>44408</v>
      </c>
      <c r="B55">
        <v>1.19</v>
      </c>
      <c r="C55">
        <v>1.23</v>
      </c>
      <c r="D55">
        <v>2.0499999999999998</v>
      </c>
      <c r="E55">
        <v>2.92</v>
      </c>
      <c r="F55">
        <v>3.58</v>
      </c>
      <c r="G55">
        <v>4.3899999999999997</v>
      </c>
      <c r="H55">
        <v>4.6399999999999997</v>
      </c>
      <c r="I55">
        <v>4.83</v>
      </c>
      <c r="J55">
        <v>5.0999999999999996</v>
      </c>
      <c r="K55">
        <v>5.28</v>
      </c>
      <c r="L55">
        <v>5.41</v>
      </c>
      <c r="M55">
        <v>5.5</v>
      </c>
      <c r="N55">
        <v>5.58</v>
      </c>
      <c r="O55">
        <v>5.63</v>
      </c>
      <c r="S55" s="1"/>
    </row>
    <row r="56" spans="1:19" x14ac:dyDescent="0.35">
      <c r="A56" s="1">
        <v>44439</v>
      </c>
      <c r="B56">
        <v>2.08</v>
      </c>
      <c r="C56">
        <v>5.28</v>
      </c>
      <c r="D56">
        <v>3.96</v>
      </c>
      <c r="E56">
        <v>5.12</v>
      </c>
      <c r="F56">
        <v>5.95</v>
      </c>
      <c r="G56">
        <v>6.94</v>
      </c>
      <c r="H56">
        <v>7.24</v>
      </c>
      <c r="I56">
        <v>7.47</v>
      </c>
      <c r="J56">
        <v>7.8</v>
      </c>
      <c r="K56">
        <v>8.01</v>
      </c>
      <c r="L56">
        <v>8.17</v>
      </c>
      <c r="M56">
        <v>8.2799999999999994</v>
      </c>
      <c r="N56">
        <v>8.3699999999999992</v>
      </c>
      <c r="O56">
        <v>8.44</v>
      </c>
      <c r="S56" s="1"/>
    </row>
    <row r="57" spans="1:19" x14ac:dyDescent="0.35">
      <c r="A57" s="1">
        <v>44469</v>
      </c>
      <c r="B57">
        <v>2.27</v>
      </c>
      <c r="C57">
        <v>2.73</v>
      </c>
      <c r="D57">
        <v>4.05</v>
      </c>
      <c r="E57">
        <v>5.18</v>
      </c>
      <c r="F57">
        <v>6</v>
      </c>
      <c r="G57">
        <v>6.98</v>
      </c>
      <c r="H57">
        <v>7.27</v>
      </c>
      <c r="I57">
        <v>7.5</v>
      </c>
      <c r="J57">
        <v>7.82</v>
      </c>
      <c r="K57">
        <v>8.0299999999999994</v>
      </c>
      <c r="L57">
        <v>8.18</v>
      </c>
      <c r="M57">
        <v>8.2899999999999991</v>
      </c>
      <c r="N57">
        <v>8.3800000000000008</v>
      </c>
      <c r="O57">
        <v>8.4499999999999993</v>
      </c>
      <c r="S57" s="1"/>
    </row>
    <row r="58" spans="1:19" x14ac:dyDescent="0.35">
      <c r="A58" s="1">
        <v>44500</v>
      </c>
      <c r="B58">
        <v>0.47</v>
      </c>
      <c r="C58">
        <v>1.34</v>
      </c>
      <c r="D58">
        <v>3.15</v>
      </c>
      <c r="E58">
        <v>4.55</v>
      </c>
      <c r="F58">
        <v>5.51</v>
      </c>
      <c r="G58">
        <v>6.65</v>
      </c>
      <c r="H58">
        <v>6.99</v>
      </c>
      <c r="I58">
        <v>7.25</v>
      </c>
      <c r="J58">
        <v>7.62</v>
      </c>
      <c r="K58">
        <v>7.87</v>
      </c>
      <c r="L58">
        <v>8.0399999999999991</v>
      </c>
      <c r="M58">
        <v>8.17</v>
      </c>
      <c r="N58">
        <v>8.27</v>
      </c>
      <c r="O58">
        <v>8.36</v>
      </c>
      <c r="S58" s="1"/>
    </row>
    <row r="59" spans="1:19" x14ac:dyDescent="0.35">
      <c r="A59" s="1">
        <v>44530</v>
      </c>
      <c r="B59">
        <v>1.78</v>
      </c>
      <c r="C59">
        <v>1.7</v>
      </c>
      <c r="D59">
        <v>2.38</v>
      </c>
      <c r="E59">
        <v>3.17</v>
      </c>
      <c r="F59">
        <v>3.78</v>
      </c>
      <c r="G59">
        <v>4.55</v>
      </c>
      <c r="H59">
        <v>4.79</v>
      </c>
      <c r="I59">
        <v>4.96</v>
      </c>
      <c r="J59">
        <v>5.22</v>
      </c>
      <c r="K59">
        <v>5.39</v>
      </c>
      <c r="L59">
        <v>5.51</v>
      </c>
      <c r="M59">
        <v>5.6</v>
      </c>
      <c r="N59">
        <v>5.67</v>
      </c>
      <c r="O59">
        <v>5.72</v>
      </c>
      <c r="S59" s="1"/>
    </row>
    <row r="60" spans="1:19" x14ac:dyDescent="0.35">
      <c r="A60" s="1">
        <v>44561</v>
      </c>
      <c r="B60">
        <v>1.8</v>
      </c>
      <c r="C60">
        <v>1.72</v>
      </c>
      <c r="D60">
        <v>2.39</v>
      </c>
      <c r="E60">
        <v>3.18</v>
      </c>
      <c r="F60">
        <v>3.79</v>
      </c>
      <c r="G60">
        <v>4.55</v>
      </c>
      <c r="H60">
        <v>4.79</v>
      </c>
      <c r="I60">
        <v>4.97</v>
      </c>
      <c r="J60">
        <v>5.22</v>
      </c>
      <c r="K60">
        <v>5.39</v>
      </c>
      <c r="L60">
        <v>5.51</v>
      </c>
      <c r="M60">
        <v>5.6</v>
      </c>
      <c r="N60">
        <v>5.67</v>
      </c>
      <c r="O60">
        <v>5.72</v>
      </c>
      <c r="S60" s="1"/>
    </row>
    <row r="61" spans="1:19" x14ac:dyDescent="0.35">
      <c r="A61" s="1">
        <v>44592</v>
      </c>
      <c r="B61">
        <v>2.02</v>
      </c>
      <c r="C61">
        <v>1.88</v>
      </c>
      <c r="D61">
        <v>2.5</v>
      </c>
      <c r="E61">
        <v>3.25</v>
      </c>
      <c r="F61">
        <v>3.85</v>
      </c>
      <c r="G61">
        <v>4.59</v>
      </c>
      <c r="H61">
        <v>4.82</v>
      </c>
      <c r="I61">
        <v>5</v>
      </c>
      <c r="J61">
        <v>5.24</v>
      </c>
      <c r="K61">
        <v>5.41</v>
      </c>
      <c r="L61">
        <v>5.53</v>
      </c>
      <c r="M61">
        <v>5.61</v>
      </c>
      <c r="N61">
        <v>5.68</v>
      </c>
      <c r="O61">
        <v>5.74</v>
      </c>
      <c r="S61" s="1"/>
    </row>
    <row r="62" spans="1:19" x14ac:dyDescent="0.35">
      <c r="A62" s="1">
        <v>44620</v>
      </c>
      <c r="B62">
        <v>1.6</v>
      </c>
      <c r="C62">
        <v>1.28</v>
      </c>
      <c r="D62">
        <v>1.67</v>
      </c>
      <c r="E62">
        <v>2.31</v>
      </c>
      <c r="F62">
        <v>2.84</v>
      </c>
      <c r="G62">
        <v>3.51</v>
      </c>
      <c r="H62">
        <v>3.72</v>
      </c>
      <c r="I62">
        <v>3.88</v>
      </c>
      <c r="J62">
        <v>4.0999999999999996</v>
      </c>
      <c r="K62">
        <v>4.25</v>
      </c>
      <c r="L62">
        <v>4.3600000000000003</v>
      </c>
      <c r="M62">
        <v>4.4400000000000004</v>
      </c>
      <c r="N62">
        <v>4.5</v>
      </c>
      <c r="O62">
        <v>4.55</v>
      </c>
      <c r="S62" s="1"/>
    </row>
    <row r="63" spans="1:19" x14ac:dyDescent="0.35">
      <c r="A63" s="1">
        <v>44651</v>
      </c>
      <c r="B63">
        <v>2.58</v>
      </c>
      <c r="C63">
        <v>2.88</v>
      </c>
      <c r="D63">
        <v>3.46</v>
      </c>
      <c r="E63">
        <v>3.98</v>
      </c>
      <c r="F63">
        <v>4.43</v>
      </c>
      <c r="G63">
        <v>5.12</v>
      </c>
      <c r="H63">
        <v>5.39</v>
      </c>
      <c r="I63">
        <v>5.61</v>
      </c>
      <c r="J63">
        <v>5.95</v>
      </c>
      <c r="K63">
        <v>6.19</v>
      </c>
      <c r="L63">
        <v>6.37</v>
      </c>
      <c r="M63">
        <v>6.51</v>
      </c>
      <c r="N63">
        <v>6.62</v>
      </c>
      <c r="O63">
        <v>6.71</v>
      </c>
      <c r="S63" s="1"/>
    </row>
    <row r="64" spans="1:19" x14ac:dyDescent="0.35">
      <c r="A64" s="1">
        <v>44742</v>
      </c>
      <c r="B64">
        <v>2.4900000000000002</v>
      </c>
      <c r="C64">
        <v>2.79</v>
      </c>
      <c r="D64">
        <v>3.38</v>
      </c>
      <c r="E64">
        <v>3.91</v>
      </c>
      <c r="F64">
        <v>4.3600000000000003</v>
      </c>
      <c r="G64">
        <v>5.0599999999999996</v>
      </c>
      <c r="H64">
        <v>5.33</v>
      </c>
      <c r="I64">
        <v>5.55</v>
      </c>
      <c r="J64">
        <v>5.9</v>
      </c>
      <c r="K64">
        <v>6.14</v>
      </c>
      <c r="L64">
        <v>6.33</v>
      </c>
      <c r="M64">
        <v>6.47</v>
      </c>
      <c r="N64">
        <v>6.58</v>
      </c>
      <c r="O64">
        <v>6.66</v>
      </c>
      <c r="S64" s="1"/>
    </row>
    <row r="65" spans="1:19" x14ac:dyDescent="0.35">
      <c r="A65" s="1">
        <v>44804</v>
      </c>
      <c r="B65">
        <v>2.61</v>
      </c>
      <c r="C65">
        <v>2.92</v>
      </c>
      <c r="D65">
        <v>3.5</v>
      </c>
      <c r="E65">
        <v>4.0199999999999996</v>
      </c>
      <c r="F65">
        <v>4.46</v>
      </c>
      <c r="G65">
        <v>5.14</v>
      </c>
      <c r="H65">
        <v>5.4</v>
      </c>
      <c r="I65">
        <v>5.61</v>
      </c>
      <c r="J65">
        <v>5.94</v>
      </c>
      <c r="K65">
        <v>6.18</v>
      </c>
      <c r="L65">
        <v>6.36</v>
      </c>
      <c r="M65">
        <v>6.49</v>
      </c>
      <c r="N65">
        <v>6.6</v>
      </c>
      <c r="O65">
        <v>6.68</v>
      </c>
      <c r="S65" s="1"/>
    </row>
    <row r="66" spans="1:19" x14ac:dyDescent="0.35">
      <c r="A66" s="1">
        <v>44834</v>
      </c>
      <c r="B66">
        <v>2.62</v>
      </c>
      <c r="C66">
        <v>2.9</v>
      </c>
      <c r="D66">
        <v>3.46</v>
      </c>
      <c r="E66">
        <v>3.99</v>
      </c>
      <c r="F66">
        <v>4.45</v>
      </c>
      <c r="G66">
        <v>5.2</v>
      </c>
      <c r="H66">
        <v>5.48</v>
      </c>
      <c r="I66">
        <v>5.72</v>
      </c>
      <c r="J66">
        <v>6.1</v>
      </c>
      <c r="K66">
        <v>6.37</v>
      </c>
      <c r="L66">
        <v>6.57</v>
      </c>
      <c r="M66">
        <v>6.72</v>
      </c>
      <c r="N66">
        <v>6.85</v>
      </c>
      <c r="O66">
        <v>6.94</v>
      </c>
      <c r="S66" s="1"/>
    </row>
    <row r="67" spans="1:19" x14ac:dyDescent="0.35">
      <c r="A67" s="1">
        <v>44865</v>
      </c>
      <c r="B67">
        <v>2.79</v>
      </c>
      <c r="C67">
        <v>3.07</v>
      </c>
      <c r="D67">
        <v>3.61</v>
      </c>
      <c r="E67">
        <v>4.0999999999999996</v>
      </c>
      <c r="F67">
        <v>4.5199999999999996</v>
      </c>
      <c r="G67">
        <v>5.18</v>
      </c>
      <c r="H67">
        <v>5.43</v>
      </c>
      <c r="I67">
        <v>5.64</v>
      </c>
      <c r="J67">
        <v>5.97</v>
      </c>
      <c r="K67">
        <v>6.2</v>
      </c>
      <c r="L67">
        <v>6.38</v>
      </c>
      <c r="M67">
        <v>6.51</v>
      </c>
      <c r="N67">
        <v>6.62</v>
      </c>
      <c r="O67">
        <v>6.7</v>
      </c>
      <c r="S67" s="1"/>
    </row>
    <row r="68" spans="1:19" x14ac:dyDescent="0.35">
      <c r="A68" s="1">
        <v>44895</v>
      </c>
      <c r="B68">
        <v>3.66</v>
      </c>
      <c r="C68">
        <v>3.6</v>
      </c>
      <c r="D68">
        <v>3.74</v>
      </c>
      <c r="E68">
        <v>4.0599999999999996</v>
      </c>
      <c r="F68">
        <v>4.42</v>
      </c>
      <c r="G68">
        <v>5.13</v>
      </c>
      <c r="H68">
        <v>5.43</v>
      </c>
      <c r="I68">
        <v>5.69</v>
      </c>
      <c r="J68">
        <v>6.11</v>
      </c>
      <c r="K68">
        <v>6.42</v>
      </c>
      <c r="L68">
        <v>6.66</v>
      </c>
      <c r="M68">
        <v>6.84</v>
      </c>
      <c r="N68">
        <v>6.98</v>
      </c>
      <c r="O68">
        <v>7.1</v>
      </c>
      <c r="S68" s="1"/>
    </row>
    <row r="69" spans="1:19" x14ac:dyDescent="0.35">
      <c r="A69" s="1">
        <v>44926</v>
      </c>
      <c r="B69">
        <v>3.66</v>
      </c>
      <c r="C69">
        <v>4.26</v>
      </c>
      <c r="D69">
        <v>5.0999999999999996</v>
      </c>
      <c r="E69">
        <v>5.62</v>
      </c>
      <c r="F69">
        <v>5.95</v>
      </c>
      <c r="G69">
        <v>6.29</v>
      </c>
      <c r="H69">
        <v>6.38</v>
      </c>
      <c r="I69">
        <v>6.45</v>
      </c>
      <c r="J69">
        <v>6.52</v>
      </c>
      <c r="K69">
        <v>6.56</v>
      </c>
      <c r="L69">
        <v>6.59</v>
      </c>
      <c r="M69">
        <v>6.61</v>
      </c>
      <c r="N69">
        <v>6.62</v>
      </c>
      <c r="O69">
        <v>6.63</v>
      </c>
      <c r="S69" s="1"/>
    </row>
    <row r="70" spans="1:19" x14ac:dyDescent="0.35">
      <c r="A70" s="1">
        <v>44957</v>
      </c>
      <c r="B70">
        <v>3.81</v>
      </c>
      <c r="C70">
        <v>4.26</v>
      </c>
      <c r="D70">
        <v>4.88</v>
      </c>
      <c r="E70">
        <v>5.25</v>
      </c>
      <c r="F70">
        <v>5.48</v>
      </c>
      <c r="G70">
        <v>5.71</v>
      </c>
      <c r="H70">
        <v>5.77</v>
      </c>
      <c r="I70">
        <v>5.81</v>
      </c>
      <c r="J70">
        <v>5.84</v>
      </c>
      <c r="K70">
        <v>5.86</v>
      </c>
      <c r="L70">
        <v>5.87</v>
      </c>
      <c r="M70">
        <v>5.88</v>
      </c>
      <c r="N70">
        <v>5.89</v>
      </c>
      <c r="O70">
        <v>5.89</v>
      </c>
      <c r="S70" s="1"/>
    </row>
    <row r="71" spans="1:19" x14ac:dyDescent="0.35">
      <c r="A71" s="1">
        <v>45016</v>
      </c>
      <c r="B71">
        <v>4.6900000000000004</v>
      </c>
      <c r="C71">
        <v>4.62</v>
      </c>
      <c r="D71">
        <v>4.67</v>
      </c>
      <c r="E71">
        <v>4.87</v>
      </c>
      <c r="F71">
        <v>5.1100000000000003</v>
      </c>
      <c r="G71">
        <v>5.59</v>
      </c>
      <c r="H71">
        <v>5.79</v>
      </c>
      <c r="I71">
        <v>5.98</v>
      </c>
      <c r="J71">
        <v>6.27</v>
      </c>
      <c r="K71">
        <v>6.49</v>
      </c>
      <c r="L71">
        <v>6.65</v>
      </c>
      <c r="M71">
        <v>6.78</v>
      </c>
      <c r="N71">
        <v>6.88</v>
      </c>
      <c r="O71">
        <v>6.96</v>
      </c>
      <c r="S71" s="1"/>
    </row>
    <row r="72" spans="1:19" x14ac:dyDescent="0.35">
      <c r="A72" s="1">
        <v>45046</v>
      </c>
      <c r="B72">
        <v>4.76</v>
      </c>
      <c r="C72">
        <v>4.7699999999999996</v>
      </c>
      <c r="D72">
        <v>4.8899999999999997</v>
      </c>
      <c r="E72">
        <v>5.09</v>
      </c>
      <c r="F72">
        <v>5.31</v>
      </c>
      <c r="G72">
        <v>5.71</v>
      </c>
      <c r="H72">
        <v>5.88</v>
      </c>
      <c r="I72">
        <v>6.02</v>
      </c>
      <c r="J72">
        <v>6.25</v>
      </c>
      <c r="K72">
        <v>6.42</v>
      </c>
      <c r="L72">
        <v>6.55</v>
      </c>
      <c r="M72">
        <v>6.65</v>
      </c>
      <c r="N72">
        <v>6.72</v>
      </c>
      <c r="O72">
        <v>6.79</v>
      </c>
      <c r="S72" s="1"/>
    </row>
    <row r="73" spans="1:19" x14ac:dyDescent="0.35">
      <c r="A73" s="1">
        <v>45077</v>
      </c>
      <c r="B73">
        <v>4.95</v>
      </c>
      <c r="C73">
        <v>4.8899999999999997</v>
      </c>
      <c r="D73">
        <v>4.8899999999999997</v>
      </c>
      <c r="E73">
        <v>4.9800000000000004</v>
      </c>
      <c r="F73">
        <v>5.0999999999999996</v>
      </c>
      <c r="G73">
        <v>5.35</v>
      </c>
      <c r="H73">
        <v>5.46</v>
      </c>
      <c r="I73">
        <v>5.56</v>
      </c>
      <c r="J73">
        <v>5.71</v>
      </c>
      <c r="K73">
        <v>5.83</v>
      </c>
      <c r="L73">
        <v>5.92</v>
      </c>
      <c r="M73">
        <v>5.99</v>
      </c>
      <c r="N73">
        <v>6.04</v>
      </c>
      <c r="O73">
        <v>6.08</v>
      </c>
      <c r="S73" s="1"/>
    </row>
    <row r="74" spans="1:19" x14ac:dyDescent="0.35">
      <c r="A74" s="1">
        <v>45107</v>
      </c>
      <c r="B74">
        <v>4.8499999999999996</v>
      </c>
      <c r="C74">
        <v>4.78</v>
      </c>
      <c r="D74">
        <v>4.96</v>
      </c>
      <c r="E74">
        <v>5.35</v>
      </c>
      <c r="F74">
        <v>5.8</v>
      </c>
      <c r="G74">
        <v>6.67</v>
      </c>
      <c r="H74">
        <v>7.04</v>
      </c>
      <c r="I74">
        <v>7.36</v>
      </c>
      <c r="J74">
        <v>7.88</v>
      </c>
      <c r="K74">
        <v>8.27</v>
      </c>
      <c r="L74">
        <v>8.56</v>
      </c>
      <c r="M74">
        <v>8.7799999999999994</v>
      </c>
      <c r="N74">
        <v>8.9600000000000009</v>
      </c>
      <c r="O74">
        <v>9.1</v>
      </c>
      <c r="S74" s="1"/>
    </row>
    <row r="75" spans="1:19" x14ac:dyDescent="0.35">
      <c r="A75" s="1">
        <v>45138</v>
      </c>
      <c r="B75">
        <v>5.08</v>
      </c>
      <c r="C75">
        <v>5.29</v>
      </c>
      <c r="D75">
        <v>5.57</v>
      </c>
      <c r="E75">
        <v>5.73</v>
      </c>
      <c r="F75">
        <v>5.82</v>
      </c>
      <c r="G75">
        <v>5.89</v>
      </c>
      <c r="H75">
        <v>5.9</v>
      </c>
      <c r="I75">
        <v>5.91</v>
      </c>
      <c r="J75">
        <v>5.91</v>
      </c>
      <c r="K75">
        <v>5.9</v>
      </c>
      <c r="L75">
        <v>5.9</v>
      </c>
      <c r="M75">
        <v>5.89</v>
      </c>
      <c r="N75">
        <v>5.89</v>
      </c>
      <c r="O75">
        <v>5.88</v>
      </c>
      <c r="S75" s="1"/>
    </row>
    <row r="76" spans="1:19" x14ac:dyDescent="0.35">
      <c r="A76" s="1">
        <v>45199</v>
      </c>
      <c r="B76">
        <v>5.5</v>
      </c>
      <c r="C76">
        <v>6.13</v>
      </c>
      <c r="D76">
        <v>6.93</v>
      </c>
      <c r="E76">
        <v>7.36</v>
      </c>
      <c r="F76">
        <v>7.58</v>
      </c>
      <c r="G76">
        <v>7.71</v>
      </c>
      <c r="H76">
        <v>7.7</v>
      </c>
      <c r="I76">
        <v>7.68</v>
      </c>
      <c r="J76">
        <v>7.63</v>
      </c>
      <c r="K76">
        <v>7.57</v>
      </c>
      <c r="L76">
        <v>7.52</v>
      </c>
      <c r="M76">
        <v>7.48</v>
      </c>
      <c r="N76">
        <v>7.45</v>
      </c>
      <c r="O76">
        <v>7.43</v>
      </c>
      <c r="S76" s="1"/>
    </row>
    <row r="77" spans="1:19" x14ac:dyDescent="0.35">
      <c r="A77" s="1">
        <v>45350</v>
      </c>
      <c r="B77">
        <v>6.42</v>
      </c>
      <c r="C77">
        <v>6.9</v>
      </c>
      <c r="D77">
        <v>7.49</v>
      </c>
      <c r="E77">
        <v>7.76</v>
      </c>
      <c r="F77">
        <v>7.86</v>
      </c>
      <c r="G77">
        <v>7.83</v>
      </c>
      <c r="H77">
        <v>7.77</v>
      </c>
      <c r="I77">
        <v>7.71</v>
      </c>
      <c r="J77">
        <v>7.59</v>
      </c>
      <c r="K77">
        <v>7.49</v>
      </c>
      <c r="L77">
        <v>7.41</v>
      </c>
      <c r="M77">
        <v>7.35</v>
      </c>
      <c r="N77">
        <v>7.3</v>
      </c>
      <c r="O77">
        <v>7.26</v>
      </c>
      <c r="S77" s="1"/>
    </row>
    <row r="78" spans="1:19" x14ac:dyDescent="0.35">
      <c r="A78" s="1">
        <v>45382</v>
      </c>
      <c r="B78">
        <v>6.29</v>
      </c>
      <c r="C78">
        <v>6.87</v>
      </c>
      <c r="D78">
        <v>7.6</v>
      </c>
      <c r="E78">
        <v>7.98</v>
      </c>
      <c r="F78">
        <v>8.16</v>
      </c>
      <c r="G78">
        <v>8.23</v>
      </c>
      <c r="H78">
        <v>8.2100000000000009</v>
      </c>
      <c r="I78">
        <v>8.17</v>
      </c>
      <c r="J78">
        <v>8.1</v>
      </c>
      <c r="K78">
        <v>8.02</v>
      </c>
      <c r="L78">
        <v>7.97</v>
      </c>
      <c r="M78">
        <v>7.92</v>
      </c>
      <c r="N78">
        <v>7.88</v>
      </c>
      <c r="O78">
        <v>7.85</v>
      </c>
      <c r="S78" s="1"/>
    </row>
    <row r="79" spans="1:19" x14ac:dyDescent="0.35">
      <c r="A79" s="1">
        <v>45412</v>
      </c>
      <c r="B79">
        <v>5.92</v>
      </c>
      <c r="C79">
        <v>6.54</v>
      </c>
      <c r="D79">
        <v>7.34</v>
      </c>
      <c r="E79">
        <v>7.77</v>
      </c>
      <c r="F79">
        <v>7.98</v>
      </c>
      <c r="G79">
        <v>8.1</v>
      </c>
      <c r="H79">
        <v>8.1</v>
      </c>
      <c r="I79">
        <v>8.07</v>
      </c>
      <c r="J79">
        <v>8.02</v>
      </c>
      <c r="K79">
        <v>7.96</v>
      </c>
      <c r="L79">
        <v>7.91</v>
      </c>
      <c r="M79">
        <v>7.87</v>
      </c>
      <c r="N79">
        <v>7.84</v>
      </c>
      <c r="O79">
        <v>7.81</v>
      </c>
      <c r="S79" s="1"/>
    </row>
    <row r="80" spans="1:19" x14ac:dyDescent="0.35">
      <c r="A80" s="1">
        <v>45443</v>
      </c>
      <c r="B80">
        <v>5.1100000000000003</v>
      </c>
      <c r="C80">
        <v>5.94</v>
      </c>
      <c r="D80">
        <v>7.06</v>
      </c>
      <c r="E80">
        <v>7.72</v>
      </c>
      <c r="F80">
        <v>8.11</v>
      </c>
      <c r="G80">
        <v>8.4600000000000009</v>
      </c>
      <c r="H80">
        <v>8.5399999999999991</v>
      </c>
      <c r="I80">
        <v>8.58</v>
      </c>
      <c r="J80">
        <v>8.61</v>
      </c>
      <c r="K80">
        <v>8.6199999999999992</v>
      </c>
      <c r="L80">
        <v>8.6199999999999992</v>
      </c>
      <c r="M80">
        <v>8.61</v>
      </c>
      <c r="N80">
        <v>8.61</v>
      </c>
      <c r="O80">
        <v>8.61</v>
      </c>
      <c r="S80" s="1"/>
    </row>
    <row r="81" spans="1:19" x14ac:dyDescent="0.35">
      <c r="A81" s="1">
        <v>45473</v>
      </c>
      <c r="B81">
        <v>6.19</v>
      </c>
      <c r="C81">
        <v>6.83</v>
      </c>
      <c r="D81">
        <v>7.66</v>
      </c>
      <c r="E81">
        <v>8.11</v>
      </c>
      <c r="F81">
        <v>8.34</v>
      </c>
      <c r="G81">
        <v>8.48</v>
      </c>
      <c r="H81">
        <v>8.48</v>
      </c>
      <c r="I81">
        <v>8.4700000000000006</v>
      </c>
      <c r="J81">
        <v>8.42</v>
      </c>
      <c r="K81">
        <v>8.3699999999999992</v>
      </c>
      <c r="L81">
        <v>8.32</v>
      </c>
      <c r="M81">
        <v>8.2899999999999991</v>
      </c>
      <c r="N81">
        <v>8.26</v>
      </c>
      <c r="O81">
        <v>8.23</v>
      </c>
      <c r="S81" s="1"/>
    </row>
    <row r="82" spans="1:19" x14ac:dyDescent="0.35">
      <c r="A82" s="1">
        <v>45504</v>
      </c>
      <c r="B82">
        <v>6.19</v>
      </c>
      <c r="C82">
        <v>6.89</v>
      </c>
      <c r="D82">
        <v>7.82</v>
      </c>
      <c r="E82">
        <v>8.34</v>
      </c>
      <c r="F82">
        <v>8.6199999999999992</v>
      </c>
      <c r="G82">
        <v>8.84</v>
      </c>
      <c r="H82">
        <v>8.8699999999999992</v>
      </c>
      <c r="I82">
        <v>8.8699999999999992</v>
      </c>
      <c r="J82">
        <v>8.85</v>
      </c>
      <c r="K82">
        <v>8.82</v>
      </c>
      <c r="L82">
        <v>8.7899999999999991</v>
      </c>
      <c r="M82">
        <v>8.76</v>
      </c>
      <c r="N82">
        <v>8.74</v>
      </c>
      <c r="O82">
        <v>8.7200000000000006</v>
      </c>
      <c r="S82" s="1"/>
    </row>
    <row r="83" spans="1:19" x14ac:dyDescent="0.35">
      <c r="A83" s="1">
        <v>45688</v>
      </c>
      <c r="B83">
        <v>6.57</v>
      </c>
      <c r="C83">
        <v>7.13</v>
      </c>
      <c r="D83">
        <v>7.85</v>
      </c>
      <c r="E83">
        <v>8.2100000000000009</v>
      </c>
      <c r="F83">
        <v>8.3800000000000008</v>
      </c>
      <c r="G83">
        <v>8.44</v>
      </c>
      <c r="H83">
        <v>8.42</v>
      </c>
      <c r="I83">
        <v>8.3800000000000008</v>
      </c>
      <c r="J83">
        <v>8.3000000000000007</v>
      </c>
      <c r="K83">
        <v>8.2200000000000006</v>
      </c>
      <c r="L83">
        <v>8.16</v>
      </c>
      <c r="M83">
        <v>8.11</v>
      </c>
      <c r="N83">
        <v>8.07</v>
      </c>
      <c r="O83">
        <v>8.0399999999999991</v>
      </c>
      <c r="S83" s="1"/>
    </row>
    <row r="84" spans="1:19" x14ac:dyDescent="0.35">
      <c r="A84" s="1">
        <v>45716</v>
      </c>
      <c r="B84">
        <v>6.61</v>
      </c>
      <c r="C84">
        <v>7.17</v>
      </c>
      <c r="D84">
        <v>7.88</v>
      </c>
      <c r="E84">
        <v>8.24</v>
      </c>
      <c r="F84">
        <v>8.4</v>
      </c>
      <c r="G84">
        <v>8.4600000000000009</v>
      </c>
      <c r="H84">
        <v>8.43</v>
      </c>
      <c r="I84">
        <v>8.39</v>
      </c>
      <c r="J84">
        <v>8.31</v>
      </c>
      <c r="K84">
        <v>8.23</v>
      </c>
      <c r="L84">
        <v>8.17</v>
      </c>
      <c r="M84">
        <v>8.1199999999999992</v>
      </c>
      <c r="N84">
        <v>8.08</v>
      </c>
      <c r="O84">
        <v>8.0500000000000007</v>
      </c>
      <c r="S84" s="1"/>
    </row>
    <row r="85" spans="1:19" x14ac:dyDescent="0.35">
      <c r="A85" s="1">
        <v>45777</v>
      </c>
      <c r="B85">
        <v>5.58</v>
      </c>
      <c r="C85">
        <v>6.45</v>
      </c>
      <c r="D85">
        <v>7.63</v>
      </c>
      <c r="E85">
        <v>8.34</v>
      </c>
      <c r="F85">
        <v>8.76</v>
      </c>
      <c r="G85">
        <v>9.17</v>
      </c>
      <c r="H85">
        <v>9.26</v>
      </c>
      <c r="I85">
        <v>9.31</v>
      </c>
      <c r="J85">
        <v>9.36</v>
      </c>
      <c r="K85">
        <v>9.3800000000000008</v>
      </c>
      <c r="L85">
        <v>9.39</v>
      </c>
      <c r="M85">
        <v>9.39</v>
      </c>
      <c r="N85">
        <v>9.39</v>
      </c>
      <c r="O85">
        <v>9.4</v>
      </c>
      <c r="S85" s="1"/>
    </row>
    <row r="86" spans="1:19" x14ac:dyDescent="0.35">
      <c r="A86" s="1">
        <v>45808</v>
      </c>
      <c r="B86">
        <v>5.83</v>
      </c>
      <c r="C86">
        <v>6.67</v>
      </c>
      <c r="D86">
        <v>7.81</v>
      </c>
      <c r="E86">
        <v>8.49</v>
      </c>
      <c r="F86">
        <v>8.89</v>
      </c>
      <c r="G86">
        <v>9.26</v>
      </c>
      <c r="H86">
        <v>9.33</v>
      </c>
      <c r="I86">
        <v>9.3800000000000008</v>
      </c>
      <c r="J86">
        <v>9.42</v>
      </c>
      <c r="K86">
        <v>9.43</v>
      </c>
      <c r="L86">
        <v>9.43</v>
      </c>
      <c r="M86">
        <v>9.43</v>
      </c>
      <c r="N86">
        <v>9.43</v>
      </c>
      <c r="O86">
        <v>9.42</v>
      </c>
      <c r="S86" s="1"/>
    </row>
    <row r="87" spans="1:19" x14ac:dyDescent="0.35">
      <c r="A87" s="1">
        <v>45838</v>
      </c>
      <c r="B87">
        <v>5.81</v>
      </c>
      <c r="C87">
        <v>6.65</v>
      </c>
      <c r="D87">
        <v>7.79</v>
      </c>
      <c r="E87">
        <v>8.4700000000000006</v>
      </c>
      <c r="F87">
        <v>8.8699999999999992</v>
      </c>
      <c r="G87">
        <v>9.25</v>
      </c>
      <c r="H87">
        <v>9.33</v>
      </c>
      <c r="I87">
        <v>9.3699999999999992</v>
      </c>
      <c r="J87">
        <v>9.41</v>
      </c>
      <c r="K87">
        <v>9.42</v>
      </c>
      <c r="L87">
        <v>9.43</v>
      </c>
      <c r="M87">
        <v>9.42</v>
      </c>
      <c r="N87">
        <v>9.42</v>
      </c>
      <c r="O87">
        <v>9.42</v>
      </c>
      <c r="S87" s="1"/>
    </row>
    <row r="88" spans="1:19" x14ac:dyDescent="0.35">
      <c r="A88" s="1"/>
      <c r="B88" t="str" cm="1">
        <f t="array" ref="B88">IFERROR(_xlfn.XLOOKUP(1,($S$3:$S$1071=$A88)*($W$3:$W$1071=B$1),$U$3:$U$1071),"")</f>
        <v/>
      </c>
      <c r="C88" t="str" cm="1">
        <f t="array" ref="C88">IFERROR(_xlfn.XLOOKUP(1,($S$3:$S$1071=$A88)*($W$3:$W$1071=C$1),$U$3:$U$1071),"")</f>
        <v/>
      </c>
      <c r="D88" t="str" cm="1">
        <f t="array" ref="D88">IFERROR(_xlfn.XLOOKUP(1,($S$3:$S$1071=$A88)*($W$3:$W$1071=D$1),$U$3:$U$1071),"")</f>
        <v/>
      </c>
      <c r="E88" t="str" cm="1">
        <f t="array" ref="E88">IFERROR(_xlfn.XLOOKUP(1,($S$3:$S$1071=$A88)*($W$3:$W$1071=E$1),$U$3:$U$1071),"")</f>
        <v/>
      </c>
      <c r="F88" t="str" cm="1">
        <f t="array" ref="F88">IFERROR(_xlfn.XLOOKUP(1,($S$3:$S$1071=$A88)*($W$3:$W$1071=F$1),$U$3:$U$1071),"")</f>
        <v/>
      </c>
      <c r="G88" t="str" cm="1">
        <f t="array" ref="G88">IFERROR(_xlfn.XLOOKUP(1,($S$3:$S$1071=$A88)*($W$3:$W$1071=G$1),$U$3:$U$1071),"")</f>
        <v/>
      </c>
      <c r="H88" t="str" cm="1">
        <f t="array" ref="H88">IFERROR(_xlfn.XLOOKUP(1,($S$3:$S$1071=$A88)*($W$3:$W$1071=H$1),$U$3:$U$1071),"")</f>
        <v/>
      </c>
      <c r="I88" t="str" cm="1">
        <f t="array" ref="I88">IFERROR(_xlfn.XLOOKUP(1,($S$3:$S$1071=$A88)*($W$3:$W$1071=I$1),$U$3:$U$1071),"")</f>
        <v/>
      </c>
      <c r="J88" t="str" cm="1">
        <f t="array" ref="J88">IFERROR(_xlfn.XLOOKUP(1,($S$3:$S$1071=$A88)*($W$3:$W$1071=J$1),$U$3:$U$1071),"")</f>
        <v/>
      </c>
      <c r="K88" t="str" cm="1">
        <f t="array" ref="K88">IFERROR(_xlfn.XLOOKUP(1,($S$3:$S$1071=$A88)*($W$3:$W$1071=K$1),$U$3:$U$1071),"")</f>
        <v/>
      </c>
      <c r="L88" t="str" cm="1">
        <f t="array" ref="L88">IFERROR(_xlfn.XLOOKUP(1,($S$3:$S$1071=$A88)*($W$3:$W$1071=L$1),$U$3:$U$1071),"")</f>
        <v/>
      </c>
      <c r="M88" t="str" cm="1">
        <f t="array" ref="M88">IFERROR(_xlfn.XLOOKUP(1,($S$3:$S$1071=$A88)*($W$3:$W$1071=M$1),$U$3:$U$1071),"")</f>
        <v/>
      </c>
      <c r="N88" t="str" cm="1">
        <f t="array" ref="N88">IFERROR(_xlfn.XLOOKUP(1,($S$3:$S$1071=$A88)*($W$3:$W$1071=N$1),$U$3:$U$1071),"")</f>
        <v/>
      </c>
      <c r="O88" t="str" cm="1">
        <f t="array" ref="O88">IFERROR(_xlfn.XLOOKUP(1,($S$3:$S$1071=$A88)*($W$3:$W$1071=O$1),$U$3:$U$1071),"")</f>
        <v/>
      </c>
      <c r="S88" s="1"/>
    </row>
    <row r="89" spans="1:19" x14ac:dyDescent="0.35">
      <c r="A89" s="1"/>
      <c r="B89" t="str" cm="1">
        <f t="array" ref="B89">IFERROR(_xlfn.XLOOKUP(1,($S$3:$S$1071=$A89)*($W$3:$W$1071=B$1),$U$3:$U$1071),"")</f>
        <v/>
      </c>
      <c r="C89" t="str" cm="1">
        <f t="array" ref="C89">IFERROR(_xlfn.XLOOKUP(1,($S$3:$S$1071=$A89)*($W$3:$W$1071=C$1),$U$3:$U$1071),"")</f>
        <v/>
      </c>
      <c r="D89" t="str" cm="1">
        <f t="array" ref="D89">IFERROR(_xlfn.XLOOKUP(1,($S$3:$S$1071=$A89)*($W$3:$W$1071=D$1),$U$3:$U$1071),"")</f>
        <v/>
      </c>
      <c r="E89" t="str" cm="1">
        <f t="array" ref="E89">IFERROR(_xlfn.XLOOKUP(1,($S$3:$S$1071=$A89)*($W$3:$W$1071=E$1),$U$3:$U$1071),"")</f>
        <v/>
      </c>
      <c r="F89" t="str" cm="1">
        <f t="array" ref="F89">IFERROR(_xlfn.XLOOKUP(1,($S$3:$S$1071=$A89)*($W$3:$W$1071=F$1),$U$3:$U$1071),"")</f>
        <v/>
      </c>
      <c r="G89" t="str" cm="1">
        <f t="array" ref="G89">IFERROR(_xlfn.XLOOKUP(1,($S$3:$S$1071=$A89)*($W$3:$W$1071=G$1),$U$3:$U$1071),"")</f>
        <v/>
      </c>
      <c r="H89" t="str" cm="1">
        <f t="array" ref="H89">IFERROR(_xlfn.XLOOKUP(1,($S$3:$S$1071=$A89)*($W$3:$W$1071=H$1),$U$3:$U$1071),"")</f>
        <v/>
      </c>
      <c r="I89" t="str" cm="1">
        <f t="array" ref="I89">IFERROR(_xlfn.XLOOKUP(1,($S$3:$S$1071=$A89)*($W$3:$W$1071=I$1),$U$3:$U$1071),"")</f>
        <v/>
      </c>
      <c r="J89" t="str" cm="1">
        <f t="array" ref="J89">IFERROR(_xlfn.XLOOKUP(1,($S$3:$S$1071=$A89)*($W$3:$W$1071=J$1),$U$3:$U$1071),"")</f>
        <v/>
      </c>
      <c r="K89" t="str" cm="1">
        <f t="array" ref="K89">IFERROR(_xlfn.XLOOKUP(1,($S$3:$S$1071=$A89)*($W$3:$W$1071=K$1),$U$3:$U$1071),"")</f>
        <v/>
      </c>
      <c r="L89" t="str" cm="1">
        <f t="array" ref="L89">IFERROR(_xlfn.XLOOKUP(1,($S$3:$S$1071=$A89)*($W$3:$W$1071=L$1),$U$3:$U$1071),"")</f>
        <v/>
      </c>
      <c r="M89" t="str" cm="1">
        <f t="array" ref="M89">IFERROR(_xlfn.XLOOKUP(1,($S$3:$S$1071=$A89)*($W$3:$W$1071=M$1),$U$3:$U$1071),"")</f>
        <v/>
      </c>
      <c r="N89" t="str" cm="1">
        <f t="array" ref="N89">IFERROR(_xlfn.XLOOKUP(1,($S$3:$S$1071=$A89)*($W$3:$W$1071=N$1),$U$3:$U$1071),"")</f>
        <v/>
      </c>
      <c r="O89" t="str" cm="1">
        <f t="array" ref="O89">IFERROR(_xlfn.XLOOKUP(1,($S$3:$S$1071=$A89)*($W$3:$W$1071=O$1),$U$3:$U$1071),"")</f>
        <v/>
      </c>
      <c r="S89" s="1"/>
    </row>
    <row r="90" spans="1:19" x14ac:dyDescent="0.35">
      <c r="A90" s="1"/>
      <c r="B90" t="str" cm="1">
        <f t="array" ref="B90">IFERROR(_xlfn.XLOOKUP(1,($S$3:$S$1071=$A90)*($W$3:$W$1071=B$1),$U$3:$U$1071),"")</f>
        <v/>
      </c>
      <c r="C90" t="str" cm="1">
        <f t="array" ref="C90">IFERROR(_xlfn.XLOOKUP(1,($S$3:$S$1071=$A90)*($W$3:$W$1071=C$1),$U$3:$U$1071),"")</f>
        <v/>
      </c>
      <c r="D90" t="str" cm="1">
        <f t="array" ref="D90">IFERROR(_xlfn.XLOOKUP(1,($S$3:$S$1071=$A90)*($W$3:$W$1071=D$1),$U$3:$U$1071),"")</f>
        <v/>
      </c>
      <c r="E90" t="str" cm="1">
        <f t="array" ref="E90">IFERROR(_xlfn.XLOOKUP(1,($S$3:$S$1071=$A90)*($W$3:$W$1071=E$1),$U$3:$U$1071),"")</f>
        <v/>
      </c>
      <c r="F90" t="str" cm="1">
        <f t="array" ref="F90">IFERROR(_xlfn.XLOOKUP(1,($S$3:$S$1071=$A90)*($W$3:$W$1071=F$1),$U$3:$U$1071),"")</f>
        <v/>
      </c>
      <c r="G90" t="str" cm="1">
        <f t="array" ref="G90">IFERROR(_xlfn.XLOOKUP(1,($S$3:$S$1071=$A90)*($W$3:$W$1071=G$1),$U$3:$U$1071),"")</f>
        <v/>
      </c>
      <c r="H90" t="str" cm="1">
        <f t="array" ref="H90">IFERROR(_xlfn.XLOOKUP(1,($S$3:$S$1071=$A90)*($W$3:$W$1071=H$1),$U$3:$U$1071),"")</f>
        <v/>
      </c>
      <c r="I90" t="str" cm="1">
        <f t="array" ref="I90">IFERROR(_xlfn.XLOOKUP(1,($S$3:$S$1071=$A90)*($W$3:$W$1071=I$1),$U$3:$U$1071),"")</f>
        <v/>
      </c>
      <c r="J90" t="str" cm="1">
        <f t="array" ref="J90">IFERROR(_xlfn.XLOOKUP(1,($S$3:$S$1071=$A90)*($W$3:$W$1071=J$1),$U$3:$U$1071),"")</f>
        <v/>
      </c>
      <c r="K90" t="str" cm="1">
        <f t="array" ref="K90">IFERROR(_xlfn.XLOOKUP(1,($S$3:$S$1071=$A90)*($W$3:$W$1071=K$1),$U$3:$U$1071),"")</f>
        <v/>
      </c>
      <c r="L90" t="str" cm="1">
        <f t="array" ref="L90">IFERROR(_xlfn.XLOOKUP(1,($S$3:$S$1071=$A90)*($W$3:$W$1071=L$1),$U$3:$U$1071),"")</f>
        <v/>
      </c>
      <c r="M90" t="str" cm="1">
        <f t="array" ref="M90">IFERROR(_xlfn.XLOOKUP(1,($S$3:$S$1071=$A90)*($W$3:$W$1071=M$1),$U$3:$U$1071),"")</f>
        <v/>
      </c>
      <c r="N90" t="str" cm="1">
        <f t="array" ref="N90">IFERROR(_xlfn.XLOOKUP(1,($S$3:$S$1071=$A90)*($W$3:$W$1071=N$1),$U$3:$U$1071),"")</f>
        <v/>
      </c>
      <c r="O90" t="str" cm="1">
        <f t="array" ref="O90">IFERROR(_xlfn.XLOOKUP(1,($S$3:$S$1071=$A90)*($W$3:$W$1071=O$1),$U$3:$U$1071),"")</f>
        <v/>
      </c>
      <c r="S90" s="1"/>
    </row>
    <row r="91" spans="1:19" x14ac:dyDescent="0.35">
      <c r="A91" s="1"/>
      <c r="B91" t="str" cm="1">
        <f t="array" ref="B91">IFERROR(_xlfn.XLOOKUP(1,($S$3:$S$1071=$A91)*($W$3:$W$1071=B$1),$U$3:$U$1071),"")</f>
        <v/>
      </c>
      <c r="C91" t="str" cm="1">
        <f t="array" ref="C91">IFERROR(_xlfn.XLOOKUP(1,($S$3:$S$1071=$A91)*($W$3:$W$1071=C$1),$U$3:$U$1071),"")</f>
        <v/>
      </c>
      <c r="D91" t="str" cm="1">
        <f t="array" ref="D91">IFERROR(_xlfn.XLOOKUP(1,($S$3:$S$1071=$A91)*($W$3:$W$1071=D$1),$U$3:$U$1071),"")</f>
        <v/>
      </c>
      <c r="E91" t="str" cm="1">
        <f t="array" ref="E91">IFERROR(_xlfn.XLOOKUP(1,($S$3:$S$1071=$A91)*($W$3:$W$1071=E$1),$U$3:$U$1071),"")</f>
        <v/>
      </c>
      <c r="F91" t="str" cm="1">
        <f t="array" ref="F91">IFERROR(_xlfn.XLOOKUP(1,($S$3:$S$1071=$A91)*($W$3:$W$1071=F$1),$U$3:$U$1071),"")</f>
        <v/>
      </c>
      <c r="G91" t="str" cm="1">
        <f t="array" ref="G91">IFERROR(_xlfn.XLOOKUP(1,($S$3:$S$1071=$A91)*($W$3:$W$1071=G$1),$U$3:$U$1071),"")</f>
        <v/>
      </c>
      <c r="H91" t="str" cm="1">
        <f t="array" ref="H91">IFERROR(_xlfn.XLOOKUP(1,($S$3:$S$1071=$A91)*($W$3:$W$1071=H$1),$U$3:$U$1071),"")</f>
        <v/>
      </c>
      <c r="I91" t="str" cm="1">
        <f t="array" ref="I91">IFERROR(_xlfn.XLOOKUP(1,($S$3:$S$1071=$A91)*($W$3:$W$1071=I$1),$U$3:$U$1071),"")</f>
        <v/>
      </c>
      <c r="J91" t="str" cm="1">
        <f t="array" ref="J91">IFERROR(_xlfn.XLOOKUP(1,($S$3:$S$1071=$A91)*($W$3:$W$1071=J$1),$U$3:$U$1071),"")</f>
        <v/>
      </c>
      <c r="K91" t="str" cm="1">
        <f t="array" ref="K91">IFERROR(_xlfn.XLOOKUP(1,($S$3:$S$1071=$A91)*($W$3:$W$1071=K$1),$U$3:$U$1071),"")</f>
        <v/>
      </c>
      <c r="L91" t="str" cm="1">
        <f t="array" ref="L91">IFERROR(_xlfn.XLOOKUP(1,($S$3:$S$1071=$A91)*($W$3:$W$1071=L$1),$U$3:$U$1071),"")</f>
        <v/>
      </c>
      <c r="M91" t="str" cm="1">
        <f t="array" ref="M91">IFERROR(_xlfn.XLOOKUP(1,($S$3:$S$1071=$A91)*($W$3:$W$1071=M$1),$U$3:$U$1071),"")</f>
        <v/>
      </c>
      <c r="N91" t="str" cm="1">
        <f t="array" ref="N91">IFERROR(_xlfn.XLOOKUP(1,($S$3:$S$1071=$A91)*($W$3:$W$1071=N$1),$U$3:$U$1071),"")</f>
        <v/>
      </c>
      <c r="O91" t="str" cm="1">
        <f t="array" ref="O91">IFERROR(_xlfn.XLOOKUP(1,($S$3:$S$1071=$A91)*($W$3:$W$1071=O$1),$U$3:$U$1071),"")</f>
        <v/>
      </c>
      <c r="S91" s="1"/>
    </row>
    <row r="92" spans="1:19" x14ac:dyDescent="0.35">
      <c r="A92" s="1"/>
      <c r="B92" t="str" cm="1">
        <f t="array" ref="B92">IFERROR(_xlfn.XLOOKUP(1,($S$3:$S$1071=$A92)*($W$3:$W$1071=B$1),$U$3:$U$1071),"")</f>
        <v/>
      </c>
      <c r="C92" t="str" cm="1">
        <f t="array" ref="C92">IFERROR(_xlfn.XLOOKUP(1,($S$3:$S$1071=$A92)*($W$3:$W$1071=C$1),$U$3:$U$1071),"")</f>
        <v/>
      </c>
      <c r="D92" t="str" cm="1">
        <f t="array" ref="D92">IFERROR(_xlfn.XLOOKUP(1,($S$3:$S$1071=$A92)*($W$3:$W$1071=D$1),$U$3:$U$1071),"")</f>
        <v/>
      </c>
      <c r="E92" t="str" cm="1">
        <f t="array" ref="E92">IFERROR(_xlfn.XLOOKUP(1,($S$3:$S$1071=$A92)*($W$3:$W$1071=E$1),$U$3:$U$1071),"")</f>
        <v/>
      </c>
      <c r="F92" t="str" cm="1">
        <f t="array" ref="F92">IFERROR(_xlfn.XLOOKUP(1,($S$3:$S$1071=$A92)*($W$3:$W$1071=F$1),$U$3:$U$1071),"")</f>
        <v/>
      </c>
      <c r="G92" t="str" cm="1">
        <f t="array" ref="G92">IFERROR(_xlfn.XLOOKUP(1,($S$3:$S$1071=$A92)*($W$3:$W$1071=G$1),$U$3:$U$1071),"")</f>
        <v/>
      </c>
      <c r="H92" t="str" cm="1">
        <f t="array" ref="H92">IFERROR(_xlfn.XLOOKUP(1,($S$3:$S$1071=$A92)*($W$3:$W$1071=H$1),$U$3:$U$1071),"")</f>
        <v/>
      </c>
      <c r="I92" t="str" cm="1">
        <f t="array" ref="I92">IFERROR(_xlfn.XLOOKUP(1,($S$3:$S$1071=$A92)*($W$3:$W$1071=I$1),$U$3:$U$1071),"")</f>
        <v/>
      </c>
      <c r="J92" t="str" cm="1">
        <f t="array" ref="J92">IFERROR(_xlfn.XLOOKUP(1,($S$3:$S$1071=$A92)*($W$3:$W$1071=J$1),$U$3:$U$1071),"")</f>
        <v/>
      </c>
      <c r="K92" t="str" cm="1">
        <f t="array" ref="K92">IFERROR(_xlfn.XLOOKUP(1,($S$3:$S$1071=$A92)*($W$3:$W$1071=K$1),$U$3:$U$1071),"")</f>
        <v/>
      </c>
      <c r="L92" t="str" cm="1">
        <f t="array" ref="L92">IFERROR(_xlfn.XLOOKUP(1,($S$3:$S$1071=$A92)*($W$3:$W$1071=L$1),$U$3:$U$1071),"")</f>
        <v/>
      </c>
      <c r="M92" t="str" cm="1">
        <f t="array" ref="M92">IFERROR(_xlfn.XLOOKUP(1,($S$3:$S$1071=$A92)*($W$3:$W$1071=M$1),$U$3:$U$1071),"")</f>
        <v/>
      </c>
      <c r="N92" t="str" cm="1">
        <f t="array" ref="N92">IFERROR(_xlfn.XLOOKUP(1,($S$3:$S$1071=$A92)*($W$3:$W$1071=N$1),$U$3:$U$1071),"")</f>
        <v/>
      </c>
      <c r="O92" t="str" cm="1">
        <f t="array" ref="O92">IFERROR(_xlfn.XLOOKUP(1,($S$3:$S$1071=$A92)*($W$3:$W$1071=O$1),$U$3:$U$1071),"")</f>
        <v/>
      </c>
      <c r="S92" s="1"/>
    </row>
    <row r="93" spans="1:19" x14ac:dyDescent="0.35">
      <c r="A93" s="1"/>
      <c r="B93" t="str" cm="1">
        <f t="array" ref="B93">IFERROR(_xlfn.XLOOKUP(1,($S$3:$S$1071=$A93)*($W$3:$W$1071=B$1),$U$3:$U$1071),"")</f>
        <v/>
      </c>
      <c r="C93" t="str" cm="1">
        <f t="array" ref="C93">IFERROR(_xlfn.XLOOKUP(1,($S$3:$S$1071=$A93)*($W$3:$W$1071=C$1),$U$3:$U$1071),"")</f>
        <v/>
      </c>
      <c r="D93" t="str" cm="1">
        <f t="array" ref="D93">IFERROR(_xlfn.XLOOKUP(1,($S$3:$S$1071=$A93)*($W$3:$W$1071=D$1),$U$3:$U$1071),"")</f>
        <v/>
      </c>
      <c r="E93" t="str" cm="1">
        <f t="array" ref="E93">IFERROR(_xlfn.XLOOKUP(1,($S$3:$S$1071=$A93)*($W$3:$W$1071=E$1),$U$3:$U$1071),"")</f>
        <v/>
      </c>
      <c r="F93" t="str" cm="1">
        <f t="array" ref="F93">IFERROR(_xlfn.XLOOKUP(1,($S$3:$S$1071=$A93)*($W$3:$W$1071=F$1),$U$3:$U$1071),"")</f>
        <v/>
      </c>
      <c r="G93" t="str" cm="1">
        <f t="array" ref="G93">IFERROR(_xlfn.XLOOKUP(1,($S$3:$S$1071=$A93)*($W$3:$W$1071=G$1),$U$3:$U$1071),"")</f>
        <v/>
      </c>
      <c r="H93" t="str" cm="1">
        <f t="array" ref="H93">IFERROR(_xlfn.XLOOKUP(1,($S$3:$S$1071=$A93)*($W$3:$W$1071=H$1),$U$3:$U$1071),"")</f>
        <v/>
      </c>
      <c r="I93" t="str" cm="1">
        <f t="array" ref="I93">IFERROR(_xlfn.XLOOKUP(1,($S$3:$S$1071=$A93)*($W$3:$W$1071=I$1),$U$3:$U$1071),"")</f>
        <v/>
      </c>
      <c r="J93" t="str" cm="1">
        <f t="array" ref="J93">IFERROR(_xlfn.XLOOKUP(1,($S$3:$S$1071=$A93)*($W$3:$W$1071=J$1),$U$3:$U$1071),"")</f>
        <v/>
      </c>
      <c r="K93" t="str" cm="1">
        <f t="array" ref="K93">IFERROR(_xlfn.XLOOKUP(1,($S$3:$S$1071=$A93)*($W$3:$W$1071=K$1),$U$3:$U$1071),"")</f>
        <v/>
      </c>
      <c r="L93" t="str" cm="1">
        <f t="array" ref="L93">IFERROR(_xlfn.XLOOKUP(1,($S$3:$S$1071=$A93)*($W$3:$W$1071=L$1),$U$3:$U$1071),"")</f>
        <v/>
      </c>
      <c r="M93" t="str" cm="1">
        <f t="array" ref="M93">IFERROR(_xlfn.XLOOKUP(1,($S$3:$S$1071=$A93)*($W$3:$W$1071=M$1),$U$3:$U$1071),"")</f>
        <v/>
      </c>
      <c r="N93" t="str" cm="1">
        <f t="array" ref="N93">IFERROR(_xlfn.XLOOKUP(1,($S$3:$S$1071=$A93)*($W$3:$W$1071=N$1),$U$3:$U$1071),"")</f>
        <v/>
      </c>
      <c r="O93" t="str" cm="1">
        <f t="array" ref="O93">IFERROR(_xlfn.XLOOKUP(1,($S$3:$S$1071=$A93)*($W$3:$W$1071=O$1),$U$3:$U$1071),"")</f>
        <v/>
      </c>
      <c r="S93" s="1"/>
    </row>
    <row r="94" spans="1:19" x14ac:dyDescent="0.35">
      <c r="A94" s="1"/>
      <c r="B94" t="str" cm="1">
        <f t="array" ref="B94">IFERROR(_xlfn.XLOOKUP(1,($S$3:$S$1071=$A94)*($W$3:$W$1071=B$1),$U$3:$U$1071),"")</f>
        <v/>
      </c>
      <c r="C94" t="str" cm="1">
        <f t="array" ref="C94">IFERROR(_xlfn.XLOOKUP(1,($S$3:$S$1071=$A94)*($W$3:$W$1071=C$1),$U$3:$U$1071),"")</f>
        <v/>
      </c>
      <c r="D94" t="str" cm="1">
        <f t="array" ref="D94">IFERROR(_xlfn.XLOOKUP(1,($S$3:$S$1071=$A94)*($W$3:$W$1071=D$1),$U$3:$U$1071),"")</f>
        <v/>
      </c>
      <c r="E94" t="str" cm="1">
        <f t="array" ref="E94">IFERROR(_xlfn.XLOOKUP(1,($S$3:$S$1071=$A94)*($W$3:$W$1071=E$1),$U$3:$U$1071),"")</f>
        <v/>
      </c>
      <c r="F94" t="str" cm="1">
        <f t="array" ref="F94">IFERROR(_xlfn.XLOOKUP(1,($S$3:$S$1071=$A94)*($W$3:$W$1071=F$1),$U$3:$U$1071),"")</f>
        <v/>
      </c>
      <c r="G94" t="str" cm="1">
        <f t="array" ref="G94">IFERROR(_xlfn.XLOOKUP(1,($S$3:$S$1071=$A94)*($W$3:$W$1071=G$1),$U$3:$U$1071),"")</f>
        <v/>
      </c>
      <c r="H94" t="str" cm="1">
        <f t="array" ref="H94">IFERROR(_xlfn.XLOOKUP(1,($S$3:$S$1071=$A94)*($W$3:$W$1071=H$1),$U$3:$U$1071),"")</f>
        <v/>
      </c>
      <c r="I94" t="str" cm="1">
        <f t="array" ref="I94">IFERROR(_xlfn.XLOOKUP(1,($S$3:$S$1071=$A94)*($W$3:$W$1071=I$1),$U$3:$U$1071),"")</f>
        <v/>
      </c>
      <c r="J94" t="str" cm="1">
        <f t="array" ref="J94">IFERROR(_xlfn.XLOOKUP(1,($S$3:$S$1071=$A94)*($W$3:$W$1071=J$1),$U$3:$U$1071),"")</f>
        <v/>
      </c>
      <c r="K94" t="str" cm="1">
        <f t="array" ref="K94">IFERROR(_xlfn.XLOOKUP(1,($S$3:$S$1071=$A94)*($W$3:$W$1071=K$1),$U$3:$U$1071),"")</f>
        <v/>
      </c>
      <c r="L94" t="str" cm="1">
        <f t="array" ref="L94">IFERROR(_xlfn.XLOOKUP(1,($S$3:$S$1071=$A94)*($W$3:$W$1071=L$1),$U$3:$U$1071),"")</f>
        <v/>
      </c>
      <c r="M94" t="str" cm="1">
        <f t="array" ref="M94">IFERROR(_xlfn.XLOOKUP(1,($S$3:$S$1071=$A94)*($W$3:$W$1071=M$1),$U$3:$U$1071),"")</f>
        <v/>
      </c>
      <c r="N94" t="str" cm="1">
        <f t="array" ref="N94">IFERROR(_xlfn.XLOOKUP(1,($S$3:$S$1071=$A94)*($W$3:$W$1071=N$1),$U$3:$U$1071),"")</f>
        <v/>
      </c>
      <c r="O94" t="str" cm="1">
        <f t="array" ref="O94">IFERROR(_xlfn.XLOOKUP(1,($S$3:$S$1071=$A94)*($W$3:$W$1071=O$1),$U$3:$U$1071),"")</f>
        <v/>
      </c>
      <c r="S94" s="1"/>
    </row>
    <row r="95" spans="1:19" x14ac:dyDescent="0.35">
      <c r="A95" s="1"/>
      <c r="B95" t="str" cm="1">
        <f t="array" ref="B95">IFERROR(_xlfn.XLOOKUP(1,($S$3:$S$1071=$A95)*($W$3:$W$1071=B$1),$U$3:$U$1071),"")</f>
        <v/>
      </c>
      <c r="C95" t="str" cm="1">
        <f t="array" ref="C95">IFERROR(_xlfn.XLOOKUP(1,($S$3:$S$1071=$A95)*($W$3:$W$1071=C$1),$U$3:$U$1071),"")</f>
        <v/>
      </c>
      <c r="D95" t="str" cm="1">
        <f t="array" ref="D95">IFERROR(_xlfn.XLOOKUP(1,($S$3:$S$1071=$A95)*($W$3:$W$1071=D$1),$U$3:$U$1071),"")</f>
        <v/>
      </c>
      <c r="E95" t="str" cm="1">
        <f t="array" ref="E95">IFERROR(_xlfn.XLOOKUP(1,($S$3:$S$1071=$A95)*($W$3:$W$1071=E$1),$U$3:$U$1071),"")</f>
        <v/>
      </c>
      <c r="F95" t="str" cm="1">
        <f t="array" ref="F95">IFERROR(_xlfn.XLOOKUP(1,($S$3:$S$1071=$A95)*($W$3:$W$1071=F$1),$U$3:$U$1071),"")</f>
        <v/>
      </c>
      <c r="G95" t="str" cm="1">
        <f t="array" ref="G95">IFERROR(_xlfn.XLOOKUP(1,($S$3:$S$1071=$A95)*($W$3:$W$1071=G$1),$U$3:$U$1071),"")</f>
        <v/>
      </c>
      <c r="H95" t="str" cm="1">
        <f t="array" ref="H95">IFERROR(_xlfn.XLOOKUP(1,($S$3:$S$1071=$A95)*($W$3:$W$1071=H$1),$U$3:$U$1071),"")</f>
        <v/>
      </c>
      <c r="I95" t="str" cm="1">
        <f t="array" ref="I95">IFERROR(_xlfn.XLOOKUP(1,($S$3:$S$1071=$A95)*($W$3:$W$1071=I$1),$U$3:$U$1071),"")</f>
        <v/>
      </c>
      <c r="J95" t="str" cm="1">
        <f t="array" ref="J95">IFERROR(_xlfn.XLOOKUP(1,($S$3:$S$1071=$A95)*($W$3:$W$1071=J$1),$U$3:$U$1071),"")</f>
        <v/>
      </c>
      <c r="K95" t="str" cm="1">
        <f t="array" ref="K95">IFERROR(_xlfn.XLOOKUP(1,($S$3:$S$1071=$A95)*($W$3:$W$1071=K$1),$U$3:$U$1071),"")</f>
        <v/>
      </c>
      <c r="L95" t="str" cm="1">
        <f t="array" ref="L95">IFERROR(_xlfn.XLOOKUP(1,($S$3:$S$1071=$A95)*($W$3:$W$1071=L$1),$U$3:$U$1071),"")</f>
        <v/>
      </c>
      <c r="M95" t="str" cm="1">
        <f t="array" ref="M95">IFERROR(_xlfn.XLOOKUP(1,($S$3:$S$1071=$A95)*($W$3:$W$1071=M$1),$U$3:$U$1071),"")</f>
        <v/>
      </c>
      <c r="N95" t="str" cm="1">
        <f t="array" ref="N95">IFERROR(_xlfn.XLOOKUP(1,($S$3:$S$1071=$A95)*($W$3:$W$1071=N$1),$U$3:$U$1071),"")</f>
        <v/>
      </c>
      <c r="O95" t="str" cm="1">
        <f t="array" ref="O95">IFERROR(_xlfn.XLOOKUP(1,($S$3:$S$1071=$A95)*($W$3:$W$1071=O$1),$U$3:$U$1071),"")</f>
        <v/>
      </c>
      <c r="S95" s="1"/>
    </row>
    <row r="96" spans="1:19" x14ac:dyDescent="0.35">
      <c r="A96" s="1"/>
      <c r="B96" t="str" cm="1">
        <f t="array" ref="B96">IFERROR(_xlfn.XLOOKUP(1,($S$3:$S$1071=$A96)*($W$3:$W$1071=B$1),$U$3:$U$1071),"")</f>
        <v/>
      </c>
      <c r="C96" t="str" cm="1">
        <f t="array" ref="C96">IFERROR(_xlfn.XLOOKUP(1,($S$3:$S$1071=$A96)*($W$3:$W$1071=C$1),$U$3:$U$1071),"")</f>
        <v/>
      </c>
      <c r="D96" t="str" cm="1">
        <f t="array" ref="D96">IFERROR(_xlfn.XLOOKUP(1,($S$3:$S$1071=$A96)*($W$3:$W$1071=D$1),$U$3:$U$1071),"")</f>
        <v/>
      </c>
      <c r="E96" t="str" cm="1">
        <f t="array" ref="E96">IFERROR(_xlfn.XLOOKUP(1,($S$3:$S$1071=$A96)*($W$3:$W$1071=E$1),$U$3:$U$1071),"")</f>
        <v/>
      </c>
      <c r="F96" t="str" cm="1">
        <f t="array" ref="F96">IFERROR(_xlfn.XLOOKUP(1,($S$3:$S$1071=$A96)*($W$3:$W$1071=F$1),$U$3:$U$1071),"")</f>
        <v/>
      </c>
      <c r="G96" t="str" cm="1">
        <f t="array" ref="G96">IFERROR(_xlfn.XLOOKUP(1,($S$3:$S$1071=$A96)*($W$3:$W$1071=G$1),$U$3:$U$1071),"")</f>
        <v/>
      </c>
      <c r="H96" t="str" cm="1">
        <f t="array" ref="H96">IFERROR(_xlfn.XLOOKUP(1,($S$3:$S$1071=$A96)*($W$3:$W$1071=H$1),$U$3:$U$1071),"")</f>
        <v/>
      </c>
      <c r="I96" t="str" cm="1">
        <f t="array" ref="I96">IFERROR(_xlfn.XLOOKUP(1,($S$3:$S$1071=$A96)*($W$3:$W$1071=I$1),$U$3:$U$1071),"")</f>
        <v/>
      </c>
      <c r="J96" t="str" cm="1">
        <f t="array" ref="J96">IFERROR(_xlfn.XLOOKUP(1,($S$3:$S$1071=$A96)*($W$3:$W$1071=J$1),$U$3:$U$1071),"")</f>
        <v/>
      </c>
      <c r="K96" t="str" cm="1">
        <f t="array" ref="K96">IFERROR(_xlfn.XLOOKUP(1,($S$3:$S$1071=$A96)*($W$3:$W$1071=K$1),$U$3:$U$1071),"")</f>
        <v/>
      </c>
      <c r="L96" t="str" cm="1">
        <f t="array" ref="L96">IFERROR(_xlfn.XLOOKUP(1,($S$3:$S$1071=$A96)*($W$3:$W$1071=L$1),$U$3:$U$1071),"")</f>
        <v/>
      </c>
      <c r="M96" t="str" cm="1">
        <f t="array" ref="M96">IFERROR(_xlfn.XLOOKUP(1,($S$3:$S$1071=$A96)*($W$3:$W$1071=M$1),$U$3:$U$1071),"")</f>
        <v/>
      </c>
      <c r="N96" t="str" cm="1">
        <f t="array" ref="N96">IFERROR(_xlfn.XLOOKUP(1,($S$3:$S$1071=$A96)*($W$3:$W$1071=N$1),$U$3:$U$1071),"")</f>
        <v/>
      </c>
      <c r="O96" t="str" cm="1">
        <f t="array" ref="O96">IFERROR(_xlfn.XLOOKUP(1,($S$3:$S$1071=$A96)*($W$3:$W$1071=O$1),$U$3:$U$1071),"")</f>
        <v/>
      </c>
      <c r="S96" s="1"/>
    </row>
    <row r="97" spans="1:19" x14ac:dyDescent="0.35">
      <c r="A97" s="1"/>
      <c r="B97" t="str" cm="1">
        <f t="array" ref="B97">IFERROR(_xlfn.XLOOKUP(1,($S$3:$S$1071=$A97)*($W$3:$W$1071=B$1),$U$3:$U$1071),"")</f>
        <v/>
      </c>
      <c r="C97" t="str" cm="1">
        <f t="array" ref="C97">IFERROR(_xlfn.XLOOKUP(1,($S$3:$S$1071=$A97)*($W$3:$W$1071=C$1),$U$3:$U$1071),"")</f>
        <v/>
      </c>
      <c r="D97" t="str" cm="1">
        <f t="array" ref="D97">IFERROR(_xlfn.XLOOKUP(1,($S$3:$S$1071=$A97)*($W$3:$W$1071=D$1),$U$3:$U$1071),"")</f>
        <v/>
      </c>
      <c r="E97" t="str" cm="1">
        <f t="array" ref="E97">IFERROR(_xlfn.XLOOKUP(1,($S$3:$S$1071=$A97)*($W$3:$W$1071=E$1),$U$3:$U$1071),"")</f>
        <v/>
      </c>
      <c r="F97" t="str" cm="1">
        <f t="array" ref="F97">IFERROR(_xlfn.XLOOKUP(1,($S$3:$S$1071=$A97)*($W$3:$W$1071=F$1),$U$3:$U$1071),"")</f>
        <v/>
      </c>
      <c r="G97" t="str" cm="1">
        <f t="array" ref="G97">IFERROR(_xlfn.XLOOKUP(1,($S$3:$S$1071=$A97)*($W$3:$W$1071=G$1),$U$3:$U$1071),"")</f>
        <v/>
      </c>
      <c r="H97" t="str" cm="1">
        <f t="array" ref="H97">IFERROR(_xlfn.XLOOKUP(1,($S$3:$S$1071=$A97)*($W$3:$W$1071=H$1),$U$3:$U$1071),"")</f>
        <v/>
      </c>
      <c r="I97" t="str" cm="1">
        <f t="array" ref="I97">IFERROR(_xlfn.XLOOKUP(1,($S$3:$S$1071=$A97)*($W$3:$W$1071=I$1),$U$3:$U$1071),"")</f>
        <v/>
      </c>
      <c r="J97" t="str" cm="1">
        <f t="array" ref="J97">IFERROR(_xlfn.XLOOKUP(1,($S$3:$S$1071=$A97)*($W$3:$W$1071=J$1),$U$3:$U$1071),"")</f>
        <v/>
      </c>
      <c r="K97" t="str" cm="1">
        <f t="array" ref="K97">IFERROR(_xlfn.XLOOKUP(1,($S$3:$S$1071=$A97)*($W$3:$W$1071=K$1),$U$3:$U$1071),"")</f>
        <v/>
      </c>
      <c r="L97" t="str" cm="1">
        <f t="array" ref="L97">IFERROR(_xlfn.XLOOKUP(1,($S$3:$S$1071=$A97)*($W$3:$W$1071=L$1),$U$3:$U$1071),"")</f>
        <v/>
      </c>
      <c r="M97" t="str" cm="1">
        <f t="array" ref="M97">IFERROR(_xlfn.XLOOKUP(1,($S$3:$S$1071=$A97)*($W$3:$W$1071=M$1),$U$3:$U$1071),"")</f>
        <v/>
      </c>
      <c r="N97" t="str" cm="1">
        <f t="array" ref="N97">IFERROR(_xlfn.XLOOKUP(1,($S$3:$S$1071=$A97)*($W$3:$W$1071=N$1),$U$3:$U$1071),"")</f>
        <v/>
      </c>
      <c r="O97" t="str" cm="1">
        <f t="array" ref="O97">IFERROR(_xlfn.XLOOKUP(1,($S$3:$S$1071=$A97)*($W$3:$W$1071=O$1),$U$3:$U$1071),"")</f>
        <v/>
      </c>
      <c r="S97" s="1"/>
    </row>
    <row r="98" spans="1:19" x14ac:dyDescent="0.35">
      <c r="A98" s="1"/>
      <c r="B98" t="str" cm="1">
        <f t="array" ref="B98">IFERROR(_xlfn.XLOOKUP(1,($S$3:$S$1071=$A98)*($W$3:$W$1071=B$1),$U$3:$U$1071),"")</f>
        <v/>
      </c>
      <c r="C98" t="str" cm="1">
        <f t="array" ref="C98">IFERROR(_xlfn.XLOOKUP(1,($S$3:$S$1071=$A98)*($W$3:$W$1071=C$1),$U$3:$U$1071),"")</f>
        <v/>
      </c>
      <c r="D98" t="str" cm="1">
        <f t="array" ref="D98">IFERROR(_xlfn.XLOOKUP(1,($S$3:$S$1071=$A98)*($W$3:$W$1071=D$1),$U$3:$U$1071),"")</f>
        <v/>
      </c>
      <c r="E98" t="str" cm="1">
        <f t="array" ref="E98">IFERROR(_xlfn.XLOOKUP(1,($S$3:$S$1071=$A98)*($W$3:$W$1071=E$1),$U$3:$U$1071),"")</f>
        <v/>
      </c>
      <c r="F98" t="str" cm="1">
        <f t="array" ref="F98">IFERROR(_xlfn.XLOOKUP(1,($S$3:$S$1071=$A98)*($W$3:$W$1071=F$1),$U$3:$U$1071),"")</f>
        <v/>
      </c>
      <c r="G98" t="str" cm="1">
        <f t="array" ref="G98">IFERROR(_xlfn.XLOOKUP(1,($S$3:$S$1071=$A98)*($W$3:$W$1071=G$1),$U$3:$U$1071),"")</f>
        <v/>
      </c>
      <c r="H98" t="str" cm="1">
        <f t="array" ref="H98">IFERROR(_xlfn.XLOOKUP(1,($S$3:$S$1071=$A98)*($W$3:$W$1071=H$1),$U$3:$U$1071),"")</f>
        <v/>
      </c>
      <c r="I98" t="str" cm="1">
        <f t="array" ref="I98">IFERROR(_xlfn.XLOOKUP(1,($S$3:$S$1071=$A98)*($W$3:$W$1071=I$1),$U$3:$U$1071),"")</f>
        <v/>
      </c>
      <c r="J98" t="str" cm="1">
        <f t="array" ref="J98">IFERROR(_xlfn.XLOOKUP(1,($S$3:$S$1071=$A98)*($W$3:$W$1071=J$1),$U$3:$U$1071),"")</f>
        <v/>
      </c>
      <c r="K98" t="str" cm="1">
        <f t="array" ref="K98">IFERROR(_xlfn.XLOOKUP(1,($S$3:$S$1071=$A98)*($W$3:$W$1071=K$1),$U$3:$U$1071),"")</f>
        <v/>
      </c>
      <c r="L98" t="str" cm="1">
        <f t="array" ref="L98">IFERROR(_xlfn.XLOOKUP(1,($S$3:$S$1071=$A98)*($W$3:$W$1071=L$1),$U$3:$U$1071),"")</f>
        <v/>
      </c>
      <c r="M98" t="str" cm="1">
        <f t="array" ref="M98">IFERROR(_xlfn.XLOOKUP(1,($S$3:$S$1071=$A98)*($W$3:$W$1071=M$1),$U$3:$U$1071),"")</f>
        <v/>
      </c>
      <c r="N98" t="str" cm="1">
        <f t="array" ref="N98">IFERROR(_xlfn.XLOOKUP(1,($S$3:$S$1071=$A98)*($W$3:$W$1071=N$1),$U$3:$U$1071),"")</f>
        <v/>
      </c>
      <c r="O98" t="str" cm="1">
        <f t="array" ref="O98">IFERROR(_xlfn.XLOOKUP(1,($S$3:$S$1071=$A98)*($W$3:$W$1071=O$1),$U$3:$U$1071),"")</f>
        <v/>
      </c>
      <c r="S98" s="1"/>
    </row>
    <row r="99" spans="1:19" x14ac:dyDescent="0.35">
      <c r="A99" s="1"/>
      <c r="B99" t="str" cm="1">
        <f t="array" ref="B99">IFERROR(_xlfn.XLOOKUP(1,($S$3:$S$1071=$A99)*($W$3:$W$1071=B$1),$U$3:$U$1071),"")</f>
        <v/>
      </c>
      <c r="C99" t="str" cm="1">
        <f t="array" ref="C99">IFERROR(_xlfn.XLOOKUP(1,($S$3:$S$1071=$A99)*($W$3:$W$1071=C$1),$U$3:$U$1071),"")</f>
        <v/>
      </c>
      <c r="D99" t="str" cm="1">
        <f t="array" ref="D99">IFERROR(_xlfn.XLOOKUP(1,($S$3:$S$1071=$A99)*($W$3:$W$1071=D$1),$U$3:$U$1071),"")</f>
        <v/>
      </c>
      <c r="E99" t="str" cm="1">
        <f t="array" ref="E99">IFERROR(_xlfn.XLOOKUP(1,($S$3:$S$1071=$A99)*($W$3:$W$1071=E$1),$U$3:$U$1071),"")</f>
        <v/>
      </c>
      <c r="F99" t="str" cm="1">
        <f t="array" ref="F99">IFERROR(_xlfn.XLOOKUP(1,($S$3:$S$1071=$A99)*($W$3:$W$1071=F$1),$U$3:$U$1071),"")</f>
        <v/>
      </c>
      <c r="G99" t="str" cm="1">
        <f t="array" ref="G99">IFERROR(_xlfn.XLOOKUP(1,($S$3:$S$1071=$A99)*($W$3:$W$1071=G$1),$U$3:$U$1071),"")</f>
        <v/>
      </c>
      <c r="H99" t="str" cm="1">
        <f t="array" ref="H99">IFERROR(_xlfn.XLOOKUP(1,($S$3:$S$1071=$A99)*($W$3:$W$1071=H$1),$U$3:$U$1071),"")</f>
        <v/>
      </c>
      <c r="I99" t="str" cm="1">
        <f t="array" ref="I99">IFERROR(_xlfn.XLOOKUP(1,($S$3:$S$1071=$A99)*($W$3:$W$1071=I$1),$U$3:$U$1071),"")</f>
        <v/>
      </c>
      <c r="J99" t="str" cm="1">
        <f t="array" ref="J99">IFERROR(_xlfn.XLOOKUP(1,($S$3:$S$1071=$A99)*($W$3:$W$1071=J$1),$U$3:$U$1071),"")</f>
        <v/>
      </c>
      <c r="K99" t="str" cm="1">
        <f t="array" ref="K99">IFERROR(_xlfn.XLOOKUP(1,($S$3:$S$1071=$A99)*($W$3:$W$1071=K$1),$U$3:$U$1071),"")</f>
        <v/>
      </c>
      <c r="L99" t="str" cm="1">
        <f t="array" ref="L99">IFERROR(_xlfn.XLOOKUP(1,($S$3:$S$1071=$A99)*($W$3:$W$1071=L$1),$U$3:$U$1071),"")</f>
        <v/>
      </c>
      <c r="M99" t="str" cm="1">
        <f t="array" ref="M99">IFERROR(_xlfn.XLOOKUP(1,($S$3:$S$1071=$A99)*($W$3:$W$1071=M$1),$U$3:$U$1071),"")</f>
        <v/>
      </c>
      <c r="N99" t="str" cm="1">
        <f t="array" ref="N99">IFERROR(_xlfn.XLOOKUP(1,($S$3:$S$1071=$A99)*($W$3:$W$1071=N$1),$U$3:$U$1071),"")</f>
        <v/>
      </c>
      <c r="O99" t="str" cm="1">
        <f t="array" ref="O99">IFERROR(_xlfn.XLOOKUP(1,($S$3:$S$1071=$A99)*($W$3:$W$1071=O$1),$U$3:$U$1071),"")</f>
        <v/>
      </c>
      <c r="S99" s="1"/>
    </row>
    <row r="100" spans="1:19" x14ac:dyDescent="0.35">
      <c r="A100" s="1"/>
      <c r="B100" t="str" cm="1">
        <f t="array" ref="B100">IFERROR(_xlfn.XLOOKUP(1,($S$3:$S$1071=$A100)*($W$3:$W$1071=B$1),$U$3:$U$1071),"")</f>
        <v/>
      </c>
      <c r="C100" t="str" cm="1">
        <f t="array" ref="C100">IFERROR(_xlfn.XLOOKUP(1,($S$3:$S$1071=$A100)*($W$3:$W$1071=C$1),$U$3:$U$1071),"")</f>
        <v/>
      </c>
      <c r="D100" t="str" cm="1">
        <f t="array" ref="D100">IFERROR(_xlfn.XLOOKUP(1,($S$3:$S$1071=$A100)*($W$3:$W$1071=D$1),$U$3:$U$1071),"")</f>
        <v/>
      </c>
      <c r="E100" t="str" cm="1">
        <f t="array" ref="E100">IFERROR(_xlfn.XLOOKUP(1,($S$3:$S$1071=$A100)*($W$3:$W$1071=E$1),$U$3:$U$1071),"")</f>
        <v/>
      </c>
      <c r="F100" t="str" cm="1">
        <f t="array" ref="F100">IFERROR(_xlfn.XLOOKUP(1,($S$3:$S$1071=$A100)*($W$3:$W$1071=F$1),$U$3:$U$1071),"")</f>
        <v/>
      </c>
      <c r="G100" t="str" cm="1">
        <f t="array" ref="G100">IFERROR(_xlfn.XLOOKUP(1,($S$3:$S$1071=$A100)*($W$3:$W$1071=G$1),$U$3:$U$1071),"")</f>
        <v/>
      </c>
      <c r="H100" t="str" cm="1">
        <f t="array" ref="H100">IFERROR(_xlfn.XLOOKUP(1,($S$3:$S$1071=$A100)*($W$3:$W$1071=H$1),$U$3:$U$1071),"")</f>
        <v/>
      </c>
      <c r="I100" t="str" cm="1">
        <f t="array" ref="I100">IFERROR(_xlfn.XLOOKUP(1,($S$3:$S$1071=$A100)*($W$3:$W$1071=I$1),$U$3:$U$1071),"")</f>
        <v/>
      </c>
      <c r="J100" t="str" cm="1">
        <f t="array" ref="J100">IFERROR(_xlfn.XLOOKUP(1,($S$3:$S$1071=$A100)*($W$3:$W$1071=J$1),$U$3:$U$1071),"")</f>
        <v/>
      </c>
      <c r="K100" t="str" cm="1">
        <f t="array" ref="K100">IFERROR(_xlfn.XLOOKUP(1,($S$3:$S$1071=$A100)*($W$3:$W$1071=K$1),$U$3:$U$1071),"")</f>
        <v/>
      </c>
      <c r="L100" t="str" cm="1">
        <f t="array" ref="L100">IFERROR(_xlfn.XLOOKUP(1,($S$3:$S$1071=$A100)*($W$3:$W$1071=L$1),$U$3:$U$1071),"")</f>
        <v/>
      </c>
      <c r="M100" t="str" cm="1">
        <f t="array" ref="M100">IFERROR(_xlfn.XLOOKUP(1,($S$3:$S$1071=$A100)*($W$3:$W$1071=M$1),$U$3:$U$1071),"")</f>
        <v/>
      </c>
      <c r="N100" t="str" cm="1">
        <f t="array" ref="N100">IFERROR(_xlfn.XLOOKUP(1,($S$3:$S$1071=$A100)*($W$3:$W$1071=N$1),$U$3:$U$1071),"")</f>
        <v/>
      </c>
      <c r="O100" t="str" cm="1">
        <f t="array" ref="O100">IFERROR(_xlfn.XLOOKUP(1,($S$3:$S$1071=$A100)*($W$3:$W$1071=O$1),$U$3:$U$1071),"")</f>
        <v/>
      </c>
      <c r="S100" s="1"/>
    </row>
    <row r="101" spans="1:19" x14ac:dyDescent="0.35">
      <c r="S101" s="1"/>
    </row>
    <row r="102" spans="1:19" x14ac:dyDescent="0.35">
      <c r="S102" s="1"/>
    </row>
    <row r="103" spans="1:19" x14ac:dyDescent="0.35">
      <c r="S103" s="1"/>
    </row>
    <row r="104" spans="1:19" x14ac:dyDescent="0.35">
      <c r="S104" s="1"/>
    </row>
    <row r="105" spans="1:19" x14ac:dyDescent="0.35">
      <c r="S105" s="1"/>
    </row>
    <row r="106" spans="1:19" x14ac:dyDescent="0.35">
      <c r="S106" s="1"/>
    </row>
    <row r="107" spans="1:19" x14ac:dyDescent="0.35">
      <c r="S107" s="1"/>
    </row>
    <row r="108" spans="1:19" x14ac:dyDescent="0.35">
      <c r="S108" s="1"/>
    </row>
    <row r="109" spans="1:19" x14ac:dyDescent="0.35">
      <c r="S109" s="1"/>
    </row>
    <row r="110" spans="1:19" x14ac:dyDescent="0.35">
      <c r="S110" s="1"/>
    </row>
    <row r="111" spans="1:19" x14ac:dyDescent="0.35">
      <c r="S111" s="1"/>
    </row>
    <row r="112" spans="1:19" x14ac:dyDescent="0.35">
      <c r="S112" s="1"/>
    </row>
    <row r="113" spans="19:19" x14ac:dyDescent="0.35">
      <c r="S113" s="1"/>
    </row>
    <row r="114" spans="19:19" x14ac:dyDescent="0.35">
      <c r="S114" s="1"/>
    </row>
    <row r="115" spans="19:19" x14ac:dyDescent="0.35">
      <c r="S115" s="1"/>
    </row>
    <row r="116" spans="19:19" x14ac:dyDescent="0.35">
      <c r="S116" s="1"/>
    </row>
    <row r="117" spans="19:19" x14ac:dyDescent="0.35">
      <c r="S117" s="1"/>
    </row>
    <row r="118" spans="19:19" x14ac:dyDescent="0.35">
      <c r="S118" s="1"/>
    </row>
    <row r="119" spans="19:19" x14ac:dyDescent="0.35">
      <c r="S119" s="1"/>
    </row>
    <row r="120" spans="19:19" x14ac:dyDescent="0.35">
      <c r="S120" s="1"/>
    </row>
    <row r="121" spans="19:19" x14ac:dyDescent="0.35">
      <c r="S121" s="1"/>
    </row>
    <row r="122" spans="19:19" x14ac:dyDescent="0.35">
      <c r="S122" s="1"/>
    </row>
    <row r="123" spans="19:19" x14ac:dyDescent="0.35">
      <c r="S123" s="1"/>
    </row>
    <row r="124" spans="19:19" x14ac:dyDescent="0.35">
      <c r="S124" s="1"/>
    </row>
    <row r="125" spans="19:19" x14ac:dyDescent="0.35">
      <c r="S125" s="1"/>
    </row>
    <row r="126" spans="19:19" x14ac:dyDescent="0.35">
      <c r="S126" s="1"/>
    </row>
    <row r="127" spans="19:19" x14ac:dyDescent="0.35">
      <c r="S127" s="1"/>
    </row>
    <row r="128" spans="19:19" x14ac:dyDescent="0.35">
      <c r="S128" s="1"/>
    </row>
    <row r="129" spans="19:19" x14ac:dyDescent="0.35">
      <c r="S129" s="1"/>
    </row>
    <row r="130" spans="19:19" x14ac:dyDescent="0.35">
      <c r="S130" s="1"/>
    </row>
    <row r="131" spans="19:19" x14ac:dyDescent="0.35">
      <c r="S131" s="1"/>
    </row>
    <row r="132" spans="19:19" x14ac:dyDescent="0.35">
      <c r="S132" s="1"/>
    </row>
    <row r="133" spans="19:19" x14ac:dyDescent="0.35">
      <c r="S133" s="1"/>
    </row>
    <row r="134" spans="19:19" x14ac:dyDescent="0.35">
      <c r="S134" s="1"/>
    </row>
    <row r="135" spans="19:19" x14ac:dyDescent="0.35">
      <c r="S135" s="1"/>
    </row>
    <row r="136" spans="19:19" x14ac:dyDescent="0.35">
      <c r="S136" s="1"/>
    </row>
    <row r="137" spans="19:19" x14ac:dyDescent="0.35">
      <c r="S137" s="1"/>
    </row>
    <row r="138" spans="19:19" x14ac:dyDescent="0.35">
      <c r="S138" s="1"/>
    </row>
    <row r="139" spans="19:19" x14ac:dyDescent="0.35">
      <c r="S139" s="1"/>
    </row>
    <row r="140" spans="19:19" x14ac:dyDescent="0.35">
      <c r="S140" s="1"/>
    </row>
    <row r="141" spans="19:19" x14ac:dyDescent="0.35">
      <c r="S141" s="1"/>
    </row>
    <row r="142" spans="19:19" x14ac:dyDescent="0.35">
      <c r="S142" s="1"/>
    </row>
    <row r="143" spans="19:19" x14ac:dyDescent="0.35">
      <c r="S143" s="1"/>
    </row>
    <row r="144" spans="19:19" x14ac:dyDescent="0.35">
      <c r="S144" s="1"/>
    </row>
    <row r="145" spans="19:19" x14ac:dyDescent="0.35">
      <c r="S145" s="1"/>
    </row>
    <row r="146" spans="19:19" x14ac:dyDescent="0.35">
      <c r="S146" s="1"/>
    </row>
    <row r="147" spans="19:19" x14ac:dyDescent="0.35">
      <c r="S147" s="1"/>
    </row>
    <row r="148" spans="19:19" x14ac:dyDescent="0.35">
      <c r="S148" s="1"/>
    </row>
    <row r="149" spans="19:19" x14ac:dyDescent="0.35">
      <c r="S149" s="1"/>
    </row>
    <row r="150" spans="19:19" x14ac:dyDescent="0.35">
      <c r="S150" s="1"/>
    </row>
    <row r="151" spans="19:19" x14ac:dyDescent="0.35">
      <c r="S151" s="1"/>
    </row>
    <row r="152" spans="19:19" x14ac:dyDescent="0.35">
      <c r="S152" s="1"/>
    </row>
    <row r="153" spans="19:19" x14ac:dyDescent="0.35">
      <c r="S153" s="1"/>
    </row>
    <row r="154" spans="19:19" x14ac:dyDescent="0.35">
      <c r="S154" s="1"/>
    </row>
    <row r="155" spans="19:19" x14ac:dyDescent="0.35">
      <c r="S155" s="1"/>
    </row>
    <row r="156" spans="19:19" x14ac:dyDescent="0.35">
      <c r="S156" s="1"/>
    </row>
    <row r="157" spans="19:19" x14ac:dyDescent="0.35">
      <c r="S157" s="1"/>
    </row>
    <row r="158" spans="19:19" x14ac:dyDescent="0.35">
      <c r="S158" s="1"/>
    </row>
    <row r="159" spans="19:19" x14ac:dyDescent="0.35">
      <c r="S159" s="1"/>
    </row>
    <row r="160" spans="19:19" x14ac:dyDescent="0.35">
      <c r="S160" s="1"/>
    </row>
    <row r="161" spans="19:19" x14ac:dyDescent="0.35">
      <c r="S161" s="1"/>
    </row>
    <row r="162" spans="19:19" x14ac:dyDescent="0.35">
      <c r="S162" s="1"/>
    </row>
    <row r="163" spans="19:19" x14ac:dyDescent="0.35">
      <c r="S163" s="1"/>
    </row>
    <row r="164" spans="19:19" x14ac:dyDescent="0.35">
      <c r="S164" s="1"/>
    </row>
    <row r="165" spans="19:19" x14ac:dyDescent="0.35">
      <c r="S165" s="1"/>
    </row>
    <row r="166" spans="19:19" x14ac:dyDescent="0.35">
      <c r="S166" s="1"/>
    </row>
    <row r="167" spans="19:19" x14ac:dyDescent="0.35">
      <c r="S167" s="1"/>
    </row>
    <row r="168" spans="19:19" x14ac:dyDescent="0.35">
      <c r="S168" s="1"/>
    </row>
    <row r="169" spans="19:19" x14ac:dyDescent="0.35">
      <c r="S169" s="1"/>
    </row>
    <row r="170" spans="19:19" x14ac:dyDescent="0.35">
      <c r="S170" s="1"/>
    </row>
    <row r="171" spans="19:19" x14ac:dyDescent="0.35">
      <c r="S171" s="1"/>
    </row>
    <row r="172" spans="19:19" x14ac:dyDescent="0.35">
      <c r="S172" s="1"/>
    </row>
    <row r="173" spans="19:19" x14ac:dyDescent="0.35">
      <c r="S173" s="1"/>
    </row>
    <row r="174" spans="19:19" x14ac:dyDescent="0.35">
      <c r="S174" s="1"/>
    </row>
    <row r="175" spans="19:19" x14ac:dyDescent="0.35">
      <c r="S175" s="1"/>
    </row>
    <row r="176" spans="19:19" x14ac:dyDescent="0.35">
      <c r="S176" s="1"/>
    </row>
    <row r="177" spans="19:19" x14ac:dyDescent="0.35">
      <c r="S177" s="1"/>
    </row>
    <row r="178" spans="19:19" x14ac:dyDescent="0.35">
      <c r="S178" s="1"/>
    </row>
    <row r="179" spans="19:19" x14ac:dyDescent="0.35">
      <c r="S179" s="1"/>
    </row>
    <row r="180" spans="19:19" x14ac:dyDescent="0.35">
      <c r="S180" s="1"/>
    </row>
    <row r="181" spans="19:19" x14ac:dyDescent="0.35">
      <c r="S181" s="1"/>
    </row>
    <row r="182" spans="19:19" x14ac:dyDescent="0.35">
      <c r="S182" s="1"/>
    </row>
    <row r="183" spans="19:19" x14ac:dyDescent="0.35">
      <c r="S183" s="1"/>
    </row>
    <row r="184" spans="19:19" x14ac:dyDescent="0.35">
      <c r="S184" s="1"/>
    </row>
    <row r="185" spans="19:19" x14ac:dyDescent="0.35">
      <c r="S185" s="1"/>
    </row>
    <row r="186" spans="19:19" x14ac:dyDescent="0.35">
      <c r="S186" s="1"/>
    </row>
    <row r="187" spans="19:19" x14ac:dyDescent="0.35">
      <c r="S187" s="1"/>
    </row>
    <row r="188" spans="19:19" x14ac:dyDescent="0.35">
      <c r="S188" s="1"/>
    </row>
    <row r="189" spans="19:19" x14ac:dyDescent="0.35">
      <c r="S189" s="1"/>
    </row>
    <row r="190" spans="19:19" x14ac:dyDescent="0.35">
      <c r="S190" s="1"/>
    </row>
    <row r="191" spans="19:19" x14ac:dyDescent="0.35">
      <c r="S191" s="1"/>
    </row>
    <row r="192" spans="19:19" x14ac:dyDescent="0.35">
      <c r="S192" s="1"/>
    </row>
    <row r="193" spans="19:19" x14ac:dyDescent="0.35">
      <c r="S193" s="1"/>
    </row>
    <row r="194" spans="19:19" x14ac:dyDescent="0.35">
      <c r="S194" s="1"/>
    </row>
    <row r="195" spans="19:19" x14ac:dyDescent="0.35">
      <c r="S195" s="1"/>
    </row>
    <row r="196" spans="19:19" x14ac:dyDescent="0.35">
      <c r="S196" s="1"/>
    </row>
    <row r="197" spans="19:19" x14ac:dyDescent="0.35">
      <c r="S197" s="1"/>
    </row>
    <row r="198" spans="19:19" x14ac:dyDescent="0.35">
      <c r="S198" s="1"/>
    </row>
    <row r="199" spans="19:19" x14ac:dyDescent="0.35">
      <c r="S199" s="1"/>
    </row>
    <row r="200" spans="19:19" x14ac:dyDescent="0.35">
      <c r="S200" s="1"/>
    </row>
    <row r="201" spans="19:19" x14ac:dyDescent="0.35">
      <c r="S201" s="1"/>
    </row>
    <row r="202" spans="19:19" x14ac:dyDescent="0.35">
      <c r="S202" s="1"/>
    </row>
    <row r="203" spans="19:19" x14ac:dyDescent="0.35">
      <c r="S203" s="1"/>
    </row>
    <row r="204" spans="19:19" x14ac:dyDescent="0.35">
      <c r="S204" s="1"/>
    </row>
    <row r="205" spans="19:19" x14ac:dyDescent="0.35">
      <c r="S205" s="1"/>
    </row>
    <row r="206" spans="19:19" x14ac:dyDescent="0.35">
      <c r="S206" s="1"/>
    </row>
    <row r="207" spans="19:19" x14ac:dyDescent="0.35">
      <c r="S207" s="1"/>
    </row>
    <row r="208" spans="19:19" x14ac:dyDescent="0.35">
      <c r="S208" s="1"/>
    </row>
    <row r="209" spans="19:19" x14ac:dyDescent="0.35">
      <c r="S209" s="1"/>
    </row>
    <row r="210" spans="19:19" x14ac:dyDescent="0.35">
      <c r="S210" s="1"/>
    </row>
    <row r="211" spans="19:19" x14ac:dyDescent="0.35">
      <c r="S211" s="1"/>
    </row>
    <row r="212" spans="19:19" x14ac:dyDescent="0.35">
      <c r="S212" s="1"/>
    </row>
    <row r="213" spans="19:19" x14ac:dyDescent="0.35">
      <c r="S213" s="1"/>
    </row>
    <row r="214" spans="19:19" x14ac:dyDescent="0.35">
      <c r="S214" s="1"/>
    </row>
    <row r="215" spans="19:19" x14ac:dyDescent="0.35">
      <c r="S215" s="1"/>
    </row>
    <row r="216" spans="19:19" x14ac:dyDescent="0.35">
      <c r="S216" s="1"/>
    </row>
    <row r="217" spans="19:19" x14ac:dyDescent="0.35">
      <c r="S217" s="1"/>
    </row>
    <row r="218" spans="19:19" x14ac:dyDescent="0.35">
      <c r="S218" s="1"/>
    </row>
    <row r="219" spans="19:19" x14ac:dyDescent="0.35">
      <c r="S219" s="1"/>
    </row>
    <row r="220" spans="19:19" x14ac:dyDescent="0.35">
      <c r="S220" s="1"/>
    </row>
    <row r="221" spans="19:19" x14ac:dyDescent="0.35">
      <c r="S221" s="1"/>
    </row>
    <row r="222" spans="19:19" x14ac:dyDescent="0.35">
      <c r="S222" s="1"/>
    </row>
    <row r="223" spans="19:19" x14ac:dyDescent="0.35">
      <c r="S223" s="1"/>
    </row>
    <row r="224" spans="19:19" x14ac:dyDescent="0.35">
      <c r="S224" s="1"/>
    </row>
    <row r="225" spans="19:19" x14ac:dyDescent="0.35">
      <c r="S225" s="1"/>
    </row>
    <row r="226" spans="19:19" x14ac:dyDescent="0.35">
      <c r="S226" s="1"/>
    </row>
    <row r="227" spans="19:19" x14ac:dyDescent="0.35">
      <c r="S227" s="1"/>
    </row>
    <row r="228" spans="19:19" x14ac:dyDescent="0.35">
      <c r="S228" s="1"/>
    </row>
    <row r="229" spans="19:19" x14ac:dyDescent="0.35">
      <c r="S229" s="1"/>
    </row>
    <row r="230" spans="19:19" x14ac:dyDescent="0.35">
      <c r="S230" s="1"/>
    </row>
    <row r="231" spans="19:19" x14ac:dyDescent="0.35">
      <c r="S231" s="1"/>
    </row>
    <row r="232" spans="19:19" x14ac:dyDescent="0.35">
      <c r="S232" s="1"/>
    </row>
    <row r="233" spans="19:19" x14ac:dyDescent="0.35">
      <c r="S233" s="1"/>
    </row>
    <row r="234" spans="19:19" x14ac:dyDescent="0.35">
      <c r="S234" s="1"/>
    </row>
    <row r="235" spans="19:19" x14ac:dyDescent="0.35">
      <c r="S235" s="1"/>
    </row>
    <row r="236" spans="19:19" x14ac:dyDescent="0.35">
      <c r="S236" s="1"/>
    </row>
    <row r="237" spans="19:19" x14ac:dyDescent="0.35">
      <c r="S237" s="1"/>
    </row>
    <row r="238" spans="19:19" x14ac:dyDescent="0.35">
      <c r="S238" s="1"/>
    </row>
    <row r="239" spans="19:19" x14ac:dyDescent="0.35">
      <c r="S239" s="1"/>
    </row>
    <row r="240" spans="19:19" x14ac:dyDescent="0.35">
      <c r="S240" s="1"/>
    </row>
    <row r="241" spans="19:19" x14ac:dyDescent="0.35">
      <c r="S241" s="1"/>
    </row>
    <row r="242" spans="19:19" x14ac:dyDescent="0.35">
      <c r="S242" s="1"/>
    </row>
    <row r="243" spans="19:19" x14ac:dyDescent="0.35">
      <c r="S243" s="1"/>
    </row>
    <row r="244" spans="19:19" x14ac:dyDescent="0.35">
      <c r="S244" s="1"/>
    </row>
    <row r="245" spans="19:19" x14ac:dyDescent="0.35">
      <c r="S245" s="1"/>
    </row>
    <row r="246" spans="19:19" x14ac:dyDescent="0.35">
      <c r="S246" s="1"/>
    </row>
    <row r="247" spans="19:19" x14ac:dyDescent="0.35">
      <c r="S247" s="1"/>
    </row>
    <row r="248" spans="19:19" x14ac:dyDescent="0.35">
      <c r="S248" s="1"/>
    </row>
    <row r="249" spans="19:19" x14ac:dyDescent="0.35">
      <c r="S249" s="1"/>
    </row>
    <row r="250" spans="19:19" x14ac:dyDescent="0.35">
      <c r="S250" s="1"/>
    </row>
    <row r="251" spans="19:19" x14ac:dyDescent="0.35">
      <c r="S251" s="1"/>
    </row>
    <row r="252" spans="19:19" x14ac:dyDescent="0.35">
      <c r="S252" s="1"/>
    </row>
    <row r="253" spans="19:19" x14ac:dyDescent="0.35">
      <c r="S253" s="1"/>
    </row>
    <row r="254" spans="19:19" x14ac:dyDescent="0.35">
      <c r="S254" s="1"/>
    </row>
    <row r="255" spans="19:19" x14ac:dyDescent="0.35">
      <c r="S255" s="1"/>
    </row>
    <row r="256" spans="19:19" x14ac:dyDescent="0.35">
      <c r="S256" s="1"/>
    </row>
    <row r="257" spans="19:19" x14ac:dyDescent="0.35">
      <c r="S257" s="1"/>
    </row>
    <row r="258" spans="19:19" x14ac:dyDescent="0.35">
      <c r="S258" s="1"/>
    </row>
    <row r="259" spans="19:19" x14ac:dyDescent="0.35">
      <c r="S259" s="1"/>
    </row>
    <row r="260" spans="19:19" x14ac:dyDescent="0.35">
      <c r="S260" s="1"/>
    </row>
    <row r="261" spans="19:19" x14ac:dyDescent="0.35">
      <c r="S261" s="1"/>
    </row>
    <row r="262" spans="19:19" x14ac:dyDescent="0.35">
      <c r="S262" s="1"/>
    </row>
    <row r="263" spans="19:19" x14ac:dyDescent="0.35">
      <c r="S263" s="1"/>
    </row>
    <row r="264" spans="19:19" x14ac:dyDescent="0.35">
      <c r="S264" s="1"/>
    </row>
    <row r="265" spans="19:19" x14ac:dyDescent="0.35">
      <c r="S265" s="1"/>
    </row>
    <row r="266" spans="19:19" x14ac:dyDescent="0.35">
      <c r="S266" s="1"/>
    </row>
    <row r="267" spans="19:19" x14ac:dyDescent="0.35">
      <c r="S267" s="1"/>
    </row>
    <row r="268" spans="19:19" x14ac:dyDescent="0.35">
      <c r="S268" s="1"/>
    </row>
    <row r="269" spans="19:19" x14ac:dyDescent="0.35">
      <c r="S269" s="1"/>
    </row>
    <row r="270" spans="19:19" x14ac:dyDescent="0.35">
      <c r="S270" s="1"/>
    </row>
    <row r="271" spans="19:19" x14ac:dyDescent="0.35">
      <c r="S271" s="1"/>
    </row>
    <row r="272" spans="19:19" x14ac:dyDescent="0.35">
      <c r="S272" s="1"/>
    </row>
    <row r="273" spans="19:19" x14ac:dyDescent="0.35">
      <c r="S273" s="1"/>
    </row>
    <row r="274" spans="19:19" x14ac:dyDescent="0.35">
      <c r="S274" s="1"/>
    </row>
    <row r="275" spans="19:19" x14ac:dyDescent="0.35">
      <c r="S275" s="1"/>
    </row>
    <row r="276" spans="19:19" x14ac:dyDescent="0.35">
      <c r="S276" s="1"/>
    </row>
    <row r="277" spans="19:19" x14ac:dyDescent="0.35">
      <c r="S277" s="1"/>
    </row>
    <row r="278" spans="19:19" x14ac:dyDescent="0.35">
      <c r="S278" s="1"/>
    </row>
    <row r="279" spans="19:19" x14ac:dyDescent="0.35">
      <c r="S279" s="1"/>
    </row>
    <row r="280" spans="19:19" x14ac:dyDescent="0.35">
      <c r="S280" s="1"/>
    </row>
    <row r="281" spans="19:19" x14ac:dyDescent="0.35">
      <c r="S281" s="1"/>
    </row>
    <row r="282" spans="19:19" x14ac:dyDescent="0.35">
      <c r="S282" s="1"/>
    </row>
    <row r="283" spans="19:19" x14ac:dyDescent="0.35">
      <c r="S283" s="1"/>
    </row>
    <row r="284" spans="19:19" x14ac:dyDescent="0.35">
      <c r="S284" s="1"/>
    </row>
    <row r="285" spans="19:19" x14ac:dyDescent="0.35">
      <c r="S285" s="1"/>
    </row>
    <row r="286" spans="19:19" x14ac:dyDescent="0.35">
      <c r="S286" s="1"/>
    </row>
    <row r="287" spans="19:19" x14ac:dyDescent="0.35">
      <c r="S287" s="1"/>
    </row>
    <row r="288" spans="19:19" x14ac:dyDescent="0.35">
      <c r="S288" s="1"/>
    </row>
    <row r="289" spans="19:19" x14ac:dyDescent="0.35">
      <c r="S289" s="1"/>
    </row>
    <row r="290" spans="19:19" x14ac:dyDescent="0.35">
      <c r="S290" s="1"/>
    </row>
    <row r="291" spans="19:19" x14ac:dyDescent="0.35">
      <c r="S291" s="1"/>
    </row>
    <row r="292" spans="19:19" x14ac:dyDescent="0.35">
      <c r="S292" s="1"/>
    </row>
    <row r="293" spans="19:19" x14ac:dyDescent="0.35">
      <c r="S293" s="1"/>
    </row>
    <row r="294" spans="19:19" x14ac:dyDescent="0.35">
      <c r="S294" s="1"/>
    </row>
    <row r="295" spans="19:19" x14ac:dyDescent="0.35">
      <c r="S295" s="1"/>
    </row>
    <row r="296" spans="19:19" x14ac:dyDescent="0.35">
      <c r="S296" s="1"/>
    </row>
    <row r="297" spans="19:19" x14ac:dyDescent="0.35">
      <c r="S297" s="1"/>
    </row>
    <row r="298" spans="19:19" x14ac:dyDescent="0.35">
      <c r="S298" s="1"/>
    </row>
    <row r="299" spans="19:19" x14ac:dyDescent="0.35">
      <c r="S299" s="1"/>
    </row>
    <row r="300" spans="19:19" x14ac:dyDescent="0.35">
      <c r="S300" s="1"/>
    </row>
    <row r="301" spans="19:19" x14ac:dyDescent="0.35">
      <c r="S301" s="1"/>
    </row>
    <row r="302" spans="19:19" x14ac:dyDescent="0.35">
      <c r="S302" s="1"/>
    </row>
    <row r="303" spans="19:19" x14ac:dyDescent="0.35">
      <c r="S303" s="1"/>
    </row>
    <row r="304" spans="19:19" x14ac:dyDescent="0.35">
      <c r="S304" s="1"/>
    </row>
    <row r="305" spans="19:19" x14ac:dyDescent="0.35">
      <c r="S305" s="1"/>
    </row>
    <row r="306" spans="19:19" x14ac:dyDescent="0.35">
      <c r="S306" s="1"/>
    </row>
    <row r="307" spans="19:19" x14ac:dyDescent="0.35">
      <c r="S307" s="1"/>
    </row>
    <row r="308" spans="19:19" x14ac:dyDescent="0.35">
      <c r="S308" s="1"/>
    </row>
    <row r="309" spans="19:19" x14ac:dyDescent="0.35">
      <c r="S309" s="1"/>
    </row>
    <row r="310" spans="19:19" x14ac:dyDescent="0.35">
      <c r="S310" s="1"/>
    </row>
    <row r="311" spans="19:19" x14ac:dyDescent="0.35">
      <c r="S311" s="1"/>
    </row>
    <row r="312" spans="19:19" x14ac:dyDescent="0.35">
      <c r="S312" s="1"/>
    </row>
    <row r="313" spans="19:19" x14ac:dyDescent="0.35">
      <c r="S313" s="1"/>
    </row>
    <row r="314" spans="19:19" x14ac:dyDescent="0.35">
      <c r="S314" s="1"/>
    </row>
    <row r="315" spans="19:19" x14ac:dyDescent="0.35">
      <c r="S315" s="1"/>
    </row>
    <row r="316" spans="19:19" x14ac:dyDescent="0.35">
      <c r="S316" s="1"/>
    </row>
    <row r="317" spans="19:19" x14ac:dyDescent="0.35">
      <c r="S317" s="1"/>
    </row>
    <row r="318" spans="19:19" x14ac:dyDescent="0.35">
      <c r="S318" s="1"/>
    </row>
    <row r="319" spans="19:19" x14ac:dyDescent="0.35">
      <c r="S319" s="1"/>
    </row>
    <row r="320" spans="19:19" x14ac:dyDescent="0.35">
      <c r="S320" s="1"/>
    </row>
    <row r="321" spans="19:19" x14ac:dyDescent="0.35">
      <c r="S321" s="1"/>
    </row>
    <row r="322" spans="19:19" x14ac:dyDescent="0.35">
      <c r="S322" s="1"/>
    </row>
    <row r="323" spans="19:19" x14ac:dyDescent="0.35">
      <c r="S323" s="1"/>
    </row>
    <row r="324" spans="19:19" x14ac:dyDescent="0.35">
      <c r="S324" s="1"/>
    </row>
    <row r="325" spans="19:19" x14ac:dyDescent="0.35">
      <c r="S325" s="1"/>
    </row>
    <row r="326" spans="19:19" x14ac:dyDescent="0.35">
      <c r="S326" s="1"/>
    </row>
    <row r="327" spans="19:19" x14ac:dyDescent="0.35">
      <c r="S327" s="1"/>
    </row>
    <row r="328" spans="19:19" x14ac:dyDescent="0.35">
      <c r="S328" s="1"/>
    </row>
    <row r="329" spans="19:19" x14ac:dyDescent="0.35">
      <c r="S329" s="1"/>
    </row>
    <row r="330" spans="19:19" x14ac:dyDescent="0.35">
      <c r="S330" s="1"/>
    </row>
    <row r="331" spans="19:19" x14ac:dyDescent="0.35">
      <c r="S331" s="1"/>
    </row>
    <row r="332" spans="19:19" x14ac:dyDescent="0.35">
      <c r="S332" s="1"/>
    </row>
    <row r="333" spans="19:19" x14ac:dyDescent="0.35">
      <c r="S333" s="1"/>
    </row>
    <row r="334" spans="19:19" x14ac:dyDescent="0.35">
      <c r="S334" s="1"/>
    </row>
    <row r="335" spans="19:19" x14ac:dyDescent="0.35">
      <c r="S335" s="1"/>
    </row>
    <row r="336" spans="19:19" x14ac:dyDescent="0.35">
      <c r="S336" s="1"/>
    </row>
    <row r="337" spans="19:19" x14ac:dyDescent="0.35">
      <c r="S337" s="1"/>
    </row>
    <row r="338" spans="19:19" x14ac:dyDescent="0.35">
      <c r="S338" s="1"/>
    </row>
    <row r="339" spans="19:19" x14ac:dyDescent="0.35">
      <c r="S339" s="1"/>
    </row>
    <row r="340" spans="19:19" x14ac:dyDescent="0.35">
      <c r="S340" s="1"/>
    </row>
    <row r="341" spans="19:19" x14ac:dyDescent="0.35">
      <c r="S341" s="1"/>
    </row>
    <row r="342" spans="19:19" x14ac:dyDescent="0.35">
      <c r="S342" s="1"/>
    </row>
    <row r="343" spans="19:19" x14ac:dyDescent="0.35">
      <c r="S343" s="1"/>
    </row>
    <row r="344" spans="19:19" x14ac:dyDescent="0.35">
      <c r="S344" s="1"/>
    </row>
    <row r="345" spans="19:19" x14ac:dyDescent="0.35">
      <c r="S345" s="1"/>
    </row>
    <row r="346" spans="19:19" x14ac:dyDescent="0.35">
      <c r="S346" s="1"/>
    </row>
    <row r="347" spans="19:19" x14ac:dyDescent="0.35">
      <c r="S347" s="1"/>
    </row>
    <row r="348" spans="19:19" x14ac:dyDescent="0.35">
      <c r="S348" s="1"/>
    </row>
    <row r="349" spans="19:19" x14ac:dyDescent="0.35">
      <c r="S349" s="1"/>
    </row>
    <row r="350" spans="19:19" x14ac:dyDescent="0.35">
      <c r="S350" s="1"/>
    </row>
    <row r="351" spans="19:19" x14ac:dyDescent="0.35">
      <c r="S351" s="1"/>
    </row>
    <row r="352" spans="19:19" x14ac:dyDescent="0.35">
      <c r="S352" s="1"/>
    </row>
    <row r="353" spans="19:19" x14ac:dyDescent="0.35">
      <c r="S353" s="1"/>
    </row>
    <row r="354" spans="19:19" x14ac:dyDescent="0.35">
      <c r="S354" s="1"/>
    </row>
    <row r="355" spans="19:19" x14ac:dyDescent="0.35">
      <c r="S355" s="1"/>
    </row>
    <row r="356" spans="19:19" x14ac:dyDescent="0.35">
      <c r="S356" s="1"/>
    </row>
    <row r="357" spans="19:19" x14ac:dyDescent="0.35">
      <c r="S357" s="1"/>
    </row>
    <row r="358" spans="19:19" x14ac:dyDescent="0.35">
      <c r="S358" s="1"/>
    </row>
    <row r="359" spans="19:19" x14ac:dyDescent="0.35">
      <c r="S359" s="1"/>
    </row>
    <row r="360" spans="19:19" x14ac:dyDescent="0.35">
      <c r="S360" s="1"/>
    </row>
    <row r="361" spans="19:19" x14ac:dyDescent="0.35">
      <c r="S361" s="1"/>
    </row>
    <row r="362" spans="19:19" x14ac:dyDescent="0.35">
      <c r="S362" s="1"/>
    </row>
    <row r="363" spans="19:19" x14ac:dyDescent="0.35">
      <c r="S363" s="1"/>
    </row>
    <row r="364" spans="19:19" x14ac:dyDescent="0.35">
      <c r="S364" s="1"/>
    </row>
    <row r="365" spans="19:19" x14ac:dyDescent="0.35">
      <c r="S365" s="1"/>
    </row>
    <row r="366" spans="19:19" x14ac:dyDescent="0.35">
      <c r="S366" s="1"/>
    </row>
    <row r="367" spans="19:19" x14ac:dyDescent="0.35">
      <c r="S367" s="1"/>
    </row>
    <row r="368" spans="19:19" x14ac:dyDescent="0.35">
      <c r="S368" s="1"/>
    </row>
    <row r="369" spans="19:19" x14ac:dyDescent="0.35">
      <c r="S369" s="1"/>
    </row>
    <row r="370" spans="19:19" x14ac:dyDescent="0.35">
      <c r="S370" s="1"/>
    </row>
    <row r="371" spans="19:19" x14ac:dyDescent="0.35">
      <c r="S371" s="1"/>
    </row>
    <row r="372" spans="19:19" x14ac:dyDescent="0.35">
      <c r="S372" s="1"/>
    </row>
    <row r="373" spans="19:19" x14ac:dyDescent="0.35">
      <c r="S373" s="1"/>
    </row>
    <row r="374" spans="19:19" x14ac:dyDescent="0.35">
      <c r="S374" s="1"/>
    </row>
    <row r="375" spans="19:19" x14ac:dyDescent="0.35">
      <c r="S375" s="1"/>
    </row>
    <row r="376" spans="19:19" x14ac:dyDescent="0.35">
      <c r="S376" s="1"/>
    </row>
    <row r="377" spans="19:19" x14ac:dyDescent="0.35">
      <c r="S377" s="1"/>
    </row>
    <row r="378" spans="19:19" x14ac:dyDescent="0.35">
      <c r="S378" s="1"/>
    </row>
    <row r="379" spans="19:19" x14ac:dyDescent="0.35">
      <c r="S379" s="1"/>
    </row>
    <row r="380" spans="19:19" x14ac:dyDescent="0.35">
      <c r="S380" s="1"/>
    </row>
    <row r="381" spans="19:19" x14ac:dyDescent="0.35">
      <c r="S381" s="1"/>
    </row>
    <row r="382" spans="19:19" x14ac:dyDescent="0.35">
      <c r="S382" s="1"/>
    </row>
    <row r="383" spans="19:19" x14ac:dyDescent="0.35">
      <c r="S383" s="1"/>
    </row>
    <row r="384" spans="19:19" x14ac:dyDescent="0.35">
      <c r="S384" s="1"/>
    </row>
    <row r="385" spans="19:19" x14ac:dyDescent="0.35">
      <c r="S385" s="1"/>
    </row>
    <row r="386" spans="19:19" x14ac:dyDescent="0.35">
      <c r="S386" s="1"/>
    </row>
    <row r="387" spans="19:19" x14ac:dyDescent="0.35">
      <c r="S387" s="1"/>
    </row>
    <row r="388" spans="19:19" x14ac:dyDescent="0.35">
      <c r="S388" s="1"/>
    </row>
    <row r="389" spans="19:19" x14ac:dyDescent="0.35">
      <c r="S389" s="1"/>
    </row>
    <row r="390" spans="19:19" x14ac:dyDescent="0.35">
      <c r="S390" s="1"/>
    </row>
    <row r="391" spans="19:19" x14ac:dyDescent="0.35">
      <c r="S391" s="1"/>
    </row>
    <row r="392" spans="19:19" x14ac:dyDescent="0.35">
      <c r="S392" s="1"/>
    </row>
    <row r="393" spans="19:19" x14ac:dyDescent="0.35">
      <c r="S393" s="1"/>
    </row>
    <row r="394" spans="19:19" x14ac:dyDescent="0.35">
      <c r="S394" s="1"/>
    </row>
    <row r="395" spans="19:19" x14ac:dyDescent="0.35">
      <c r="S395" s="1"/>
    </row>
    <row r="396" spans="19:19" x14ac:dyDescent="0.35">
      <c r="S396" s="1"/>
    </row>
    <row r="397" spans="19:19" x14ac:dyDescent="0.35">
      <c r="S397" s="1"/>
    </row>
    <row r="398" spans="19:19" x14ac:dyDescent="0.35">
      <c r="S398" s="1"/>
    </row>
    <row r="399" spans="19:19" x14ac:dyDescent="0.35">
      <c r="S399" s="1"/>
    </row>
    <row r="400" spans="19:19" x14ac:dyDescent="0.35">
      <c r="S400" s="1"/>
    </row>
    <row r="401" spans="19:19" x14ac:dyDescent="0.35">
      <c r="S401" s="1"/>
    </row>
    <row r="402" spans="19:19" x14ac:dyDescent="0.35">
      <c r="S402" s="1"/>
    </row>
    <row r="403" spans="19:19" x14ac:dyDescent="0.35">
      <c r="S403" s="1"/>
    </row>
    <row r="404" spans="19:19" x14ac:dyDescent="0.35">
      <c r="S404" s="1"/>
    </row>
    <row r="405" spans="19:19" x14ac:dyDescent="0.35">
      <c r="S405" s="1"/>
    </row>
    <row r="406" spans="19:19" x14ac:dyDescent="0.35">
      <c r="S406" s="1"/>
    </row>
    <row r="407" spans="19:19" x14ac:dyDescent="0.35">
      <c r="S407" s="1"/>
    </row>
    <row r="408" spans="19:19" x14ac:dyDescent="0.35">
      <c r="S408" s="1"/>
    </row>
    <row r="409" spans="19:19" x14ac:dyDescent="0.35">
      <c r="S409" s="1"/>
    </row>
    <row r="410" spans="19:19" x14ac:dyDescent="0.35">
      <c r="S410" s="1"/>
    </row>
    <row r="411" spans="19:19" x14ac:dyDescent="0.35">
      <c r="S411" s="1"/>
    </row>
    <row r="412" spans="19:19" x14ac:dyDescent="0.35">
      <c r="S412" s="1"/>
    </row>
    <row r="413" spans="19:19" x14ac:dyDescent="0.35">
      <c r="S413" s="1"/>
    </row>
    <row r="414" spans="19:19" x14ac:dyDescent="0.35">
      <c r="S414" s="1"/>
    </row>
    <row r="415" spans="19:19" x14ac:dyDescent="0.35">
      <c r="S415" s="1"/>
    </row>
    <row r="416" spans="19:19" x14ac:dyDescent="0.35">
      <c r="S416" s="1"/>
    </row>
    <row r="417" spans="19:19" x14ac:dyDescent="0.35">
      <c r="S417" s="1"/>
    </row>
    <row r="418" spans="19:19" x14ac:dyDescent="0.35">
      <c r="S418" s="1"/>
    </row>
    <row r="419" spans="19:19" x14ac:dyDescent="0.35">
      <c r="S419" s="1"/>
    </row>
    <row r="420" spans="19:19" x14ac:dyDescent="0.35">
      <c r="S420" s="1"/>
    </row>
    <row r="421" spans="19:19" x14ac:dyDescent="0.35">
      <c r="S421" s="1"/>
    </row>
    <row r="422" spans="19:19" x14ac:dyDescent="0.35">
      <c r="S422" s="1"/>
    </row>
    <row r="423" spans="19:19" x14ac:dyDescent="0.35">
      <c r="S423" s="1"/>
    </row>
    <row r="424" spans="19:19" x14ac:dyDescent="0.35">
      <c r="S424" s="1"/>
    </row>
    <row r="425" spans="19:19" x14ac:dyDescent="0.35">
      <c r="S425" s="1"/>
    </row>
    <row r="426" spans="19:19" x14ac:dyDescent="0.35">
      <c r="S426" s="1"/>
    </row>
    <row r="427" spans="19:19" x14ac:dyDescent="0.35">
      <c r="S427" s="1"/>
    </row>
    <row r="428" spans="19:19" x14ac:dyDescent="0.35">
      <c r="S428" s="1"/>
    </row>
    <row r="429" spans="19:19" x14ac:dyDescent="0.35">
      <c r="S429" s="1"/>
    </row>
    <row r="430" spans="19:19" x14ac:dyDescent="0.35">
      <c r="S430" s="1"/>
    </row>
    <row r="431" spans="19:19" x14ac:dyDescent="0.35">
      <c r="S431" s="1"/>
    </row>
    <row r="432" spans="19:19" x14ac:dyDescent="0.35">
      <c r="S432" s="1"/>
    </row>
    <row r="433" spans="19:19" x14ac:dyDescent="0.35">
      <c r="S433" s="1"/>
    </row>
    <row r="434" spans="19:19" x14ac:dyDescent="0.35">
      <c r="S434" s="1"/>
    </row>
    <row r="435" spans="19:19" x14ac:dyDescent="0.35">
      <c r="S435" s="1"/>
    </row>
    <row r="436" spans="19:19" x14ac:dyDescent="0.35">
      <c r="S436" s="1"/>
    </row>
    <row r="437" spans="19:19" x14ac:dyDescent="0.35">
      <c r="S437" s="1"/>
    </row>
    <row r="438" spans="19:19" x14ac:dyDescent="0.35">
      <c r="S438" s="1"/>
    </row>
    <row r="439" spans="19:19" x14ac:dyDescent="0.35">
      <c r="S439" s="1"/>
    </row>
    <row r="440" spans="19:19" x14ac:dyDescent="0.35">
      <c r="S440" s="1"/>
    </row>
    <row r="441" spans="19:19" x14ac:dyDescent="0.35">
      <c r="S441" s="1"/>
    </row>
    <row r="442" spans="19:19" x14ac:dyDescent="0.35">
      <c r="S442" s="1"/>
    </row>
    <row r="443" spans="19:19" x14ac:dyDescent="0.35">
      <c r="S443" s="1"/>
    </row>
    <row r="444" spans="19:19" x14ac:dyDescent="0.35">
      <c r="S444" s="1"/>
    </row>
    <row r="445" spans="19:19" x14ac:dyDescent="0.35">
      <c r="S445" s="1"/>
    </row>
    <row r="446" spans="19:19" x14ac:dyDescent="0.35">
      <c r="S446" s="1"/>
    </row>
    <row r="447" spans="19:19" x14ac:dyDescent="0.35">
      <c r="S447" s="1"/>
    </row>
    <row r="448" spans="19:19" x14ac:dyDescent="0.35">
      <c r="S448" s="1"/>
    </row>
    <row r="449" spans="19:19" x14ac:dyDescent="0.35">
      <c r="S449" s="1"/>
    </row>
    <row r="450" spans="19:19" x14ac:dyDescent="0.35">
      <c r="S450" s="1"/>
    </row>
    <row r="451" spans="19:19" x14ac:dyDescent="0.35">
      <c r="S451" s="1"/>
    </row>
    <row r="452" spans="19:19" x14ac:dyDescent="0.35">
      <c r="S452" s="1"/>
    </row>
    <row r="453" spans="19:19" x14ac:dyDescent="0.35">
      <c r="S453" s="1"/>
    </row>
    <row r="454" spans="19:19" x14ac:dyDescent="0.35">
      <c r="S454" s="1"/>
    </row>
    <row r="455" spans="19:19" x14ac:dyDescent="0.35">
      <c r="S455" s="1"/>
    </row>
    <row r="456" spans="19:19" x14ac:dyDescent="0.35">
      <c r="S456" s="1"/>
    </row>
    <row r="457" spans="19:19" x14ac:dyDescent="0.35">
      <c r="S457" s="1"/>
    </row>
    <row r="458" spans="19:19" x14ac:dyDescent="0.35">
      <c r="S458" s="1"/>
    </row>
    <row r="459" spans="19:19" x14ac:dyDescent="0.35">
      <c r="S459" s="1"/>
    </row>
    <row r="460" spans="19:19" x14ac:dyDescent="0.35">
      <c r="S460" s="1"/>
    </row>
    <row r="461" spans="19:19" x14ac:dyDescent="0.35">
      <c r="S461" s="1"/>
    </row>
    <row r="462" spans="19:19" x14ac:dyDescent="0.35">
      <c r="S462" s="1"/>
    </row>
    <row r="463" spans="19:19" x14ac:dyDescent="0.35">
      <c r="S463" s="1"/>
    </row>
    <row r="464" spans="19:19" x14ac:dyDescent="0.35">
      <c r="S464" s="1"/>
    </row>
    <row r="465" spans="19:19" x14ac:dyDescent="0.35">
      <c r="S465" s="1"/>
    </row>
    <row r="466" spans="19:19" x14ac:dyDescent="0.35">
      <c r="S466" s="1"/>
    </row>
    <row r="467" spans="19:19" x14ac:dyDescent="0.35">
      <c r="S467" s="1"/>
    </row>
    <row r="468" spans="19:19" x14ac:dyDescent="0.35">
      <c r="S468" s="1"/>
    </row>
    <row r="469" spans="19:19" x14ac:dyDescent="0.35">
      <c r="S469" s="1"/>
    </row>
    <row r="470" spans="19:19" x14ac:dyDescent="0.35">
      <c r="S470" s="1"/>
    </row>
    <row r="471" spans="19:19" x14ac:dyDescent="0.35">
      <c r="S471" s="1"/>
    </row>
    <row r="472" spans="19:19" x14ac:dyDescent="0.35">
      <c r="S472" s="1"/>
    </row>
    <row r="473" spans="19:19" x14ac:dyDescent="0.35">
      <c r="S473" s="1"/>
    </row>
    <row r="474" spans="19:19" x14ac:dyDescent="0.35">
      <c r="S474" s="1"/>
    </row>
    <row r="475" spans="19:19" x14ac:dyDescent="0.35">
      <c r="S475" s="1"/>
    </row>
    <row r="476" spans="19:19" x14ac:dyDescent="0.35">
      <c r="S476" s="1"/>
    </row>
    <row r="477" spans="19:19" x14ac:dyDescent="0.35">
      <c r="S477" s="1"/>
    </row>
    <row r="478" spans="19:19" x14ac:dyDescent="0.35">
      <c r="S478" s="1"/>
    </row>
    <row r="479" spans="19:19" x14ac:dyDescent="0.35">
      <c r="S479" s="1"/>
    </row>
    <row r="480" spans="19:19" x14ac:dyDescent="0.35">
      <c r="S480" s="1"/>
    </row>
    <row r="481" spans="19:19" x14ac:dyDescent="0.35">
      <c r="S481" s="1"/>
    </row>
    <row r="482" spans="19:19" x14ac:dyDescent="0.35">
      <c r="S482" s="1"/>
    </row>
    <row r="483" spans="19:19" x14ac:dyDescent="0.35">
      <c r="S483" s="1"/>
    </row>
    <row r="484" spans="19:19" x14ac:dyDescent="0.35">
      <c r="S484" s="1"/>
    </row>
    <row r="485" spans="19:19" x14ac:dyDescent="0.35">
      <c r="S485" s="1"/>
    </row>
    <row r="486" spans="19:19" x14ac:dyDescent="0.35">
      <c r="S486" s="1"/>
    </row>
    <row r="487" spans="19:19" x14ac:dyDescent="0.35">
      <c r="S487" s="1"/>
    </row>
    <row r="488" spans="19:19" x14ac:dyDescent="0.35">
      <c r="S488" s="1"/>
    </row>
    <row r="489" spans="19:19" x14ac:dyDescent="0.35">
      <c r="S489" s="1"/>
    </row>
    <row r="490" spans="19:19" x14ac:dyDescent="0.35">
      <c r="S490" s="1"/>
    </row>
    <row r="491" spans="19:19" x14ac:dyDescent="0.35">
      <c r="S491" s="1"/>
    </row>
    <row r="492" spans="19:19" x14ac:dyDescent="0.35">
      <c r="S492" s="1"/>
    </row>
    <row r="493" spans="19:19" x14ac:dyDescent="0.35">
      <c r="S493" s="1"/>
    </row>
    <row r="494" spans="19:19" x14ac:dyDescent="0.35">
      <c r="S494" s="1"/>
    </row>
    <row r="495" spans="19:19" x14ac:dyDescent="0.35">
      <c r="S495" s="1"/>
    </row>
    <row r="496" spans="19:19" x14ac:dyDescent="0.35">
      <c r="S496" s="1"/>
    </row>
    <row r="497" spans="19:19" x14ac:dyDescent="0.35">
      <c r="S497" s="1"/>
    </row>
    <row r="498" spans="19:19" x14ac:dyDescent="0.35">
      <c r="S498" s="1"/>
    </row>
    <row r="499" spans="19:19" x14ac:dyDescent="0.35">
      <c r="S499" s="1"/>
    </row>
    <row r="500" spans="19:19" x14ac:dyDescent="0.35">
      <c r="S500" s="1"/>
    </row>
    <row r="501" spans="19:19" x14ac:dyDescent="0.35">
      <c r="S501" s="1"/>
    </row>
    <row r="502" spans="19:19" x14ac:dyDescent="0.35">
      <c r="S502" s="1"/>
    </row>
    <row r="503" spans="19:19" x14ac:dyDescent="0.35">
      <c r="S503" s="1"/>
    </row>
    <row r="504" spans="19:19" x14ac:dyDescent="0.35">
      <c r="S504" s="1"/>
    </row>
    <row r="505" spans="19:19" x14ac:dyDescent="0.35">
      <c r="S505" s="1"/>
    </row>
    <row r="506" spans="19:19" x14ac:dyDescent="0.35">
      <c r="S506" s="1"/>
    </row>
    <row r="507" spans="19:19" x14ac:dyDescent="0.35">
      <c r="S507" s="1"/>
    </row>
    <row r="508" spans="19:19" x14ac:dyDescent="0.35">
      <c r="S508" s="1"/>
    </row>
    <row r="509" spans="19:19" x14ac:dyDescent="0.35">
      <c r="S509" s="1"/>
    </row>
    <row r="510" spans="19:19" x14ac:dyDescent="0.35">
      <c r="S510" s="1"/>
    </row>
    <row r="511" spans="19:19" x14ac:dyDescent="0.35">
      <c r="S511" s="1"/>
    </row>
    <row r="512" spans="19:19" x14ac:dyDescent="0.35">
      <c r="S512" s="1"/>
    </row>
    <row r="513" spans="19:19" x14ac:dyDescent="0.35">
      <c r="S513" s="1"/>
    </row>
    <row r="514" spans="19:19" x14ac:dyDescent="0.35">
      <c r="S514" s="1"/>
    </row>
    <row r="515" spans="19:19" x14ac:dyDescent="0.35">
      <c r="S515" s="1"/>
    </row>
    <row r="516" spans="19:19" x14ac:dyDescent="0.35">
      <c r="S516" s="1"/>
    </row>
    <row r="517" spans="19:19" x14ac:dyDescent="0.35">
      <c r="S517" s="1"/>
    </row>
    <row r="518" spans="19:19" x14ac:dyDescent="0.35">
      <c r="S518" s="1"/>
    </row>
    <row r="519" spans="19:19" x14ac:dyDescent="0.35">
      <c r="S519" s="1"/>
    </row>
    <row r="520" spans="19:19" x14ac:dyDescent="0.35">
      <c r="S520" s="1"/>
    </row>
    <row r="521" spans="19:19" x14ac:dyDescent="0.35">
      <c r="S521" s="1"/>
    </row>
    <row r="522" spans="19:19" x14ac:dyDescent="0.35">
      <c r="S522" s="1"/>
    </row>
    <row r="523" spans="19:19" x14ac:dyDescent="0.35">
      <c r="S523" s="1"/>
    </row>
    <row r="524" spans="19:19" x14ac:dyDescent="0.35">
      <c r="S524" s="1"/>
    </row>
    <row r="525" spans="19:19" x14ac:dyDescent="0.35">
      <c r="S525" s="1"/>
    </row>
    <row r="526" spans="19:19" x14ac:dyDescent="0.35">
      <c r="S526" s="1"/>
    </row>
    <row r="527" spans="19:19" x14ac:dyDescent="0.35">
      <c r="S527" s="1"/>
    </row>
    <row r="528" spans="19:19" x14ac:dyDescent="0.35">
      <c r="S528" s="1"/>
    </row>
    <row r="529" spans="19:19" x14ac:dyDescent="0.35">
      <c r="S529" s="1"/>
    </row>
    <row r="530" spans="19:19" x14ac:dyDescent="0.35">
      <c r="S530" s="1"/>
    </row>
    <row r="531" spans="19:19" x14ac:dyDescent="0.35">
      <c r="S531" s="1"/>
    </row>
    <row r="532" spans="19:19" x14ac:dyDescent="0.35">
      <c r="S532" s="1"/>
    </row>
    <row r="533" spans="19:19" x14ac:dyDescent="0.35">
      <c r="S533" s="1"/>
    </row>
    <row r="534" spans="19:19" x14ac:dyDescent="0.35">
      <c r="S534" s="1"/>
    </row>
    <row r="535" spans="19:19" x14ac:dyDescent="0.35">
      <c r="S535" s="1"/>
    </row>
    <row r="536" spans="19:19" x14ac:dyDescent="0.35">
      <c r="S536" s="1"/>
    </row>
    <row r="537" spans="19:19" x14ac:dyDescent="0.35">
      <c r="S537" s="1"/>
    </row>
    <row r="538" spans="19:19" x14ac:dyDescent="0.35">
      <c r="S538" s="1"/>
    </row>
    <row r="539" spans="19:19" x14ac:dyDescent="0.35">
      <c r="S539" s="1"/>
    </row>
    <row r="540" spans="19:19" x14ac:dyDescent="0.35">
      <c r="S540" s="1"/>
    </row>
    <row r="541" spans="19:19" x14ac:dyDescent="0.35">
      <c r="S541" s="1"/>
    </row>
    <row r="542" spans="19:19" x14ac:dyDescent="0.35">
      <c r="S542" s="1"/>
    </row>
    <row r="543" spans="19:19" x14ac:dyDescent="0.35">
      <c r="S543" s="1"/>
    </row>
    <row r="544" spans="19:19" x14ac:dyDescent="0.35">
      <c r="S544" s="1"/>
    </row>
    <row r="545" spans="19:19" x14ac:dyDescent="0.35">
      <c r="S545" s="1"/>
    </row>
    <row r="546" spans="19:19" x14ac:dyDescent="0.35">
      <c r="S546" s="1"/>
    </row>
    <row r="547" spans="19:19" x14ac:dyDescent="0.35">
      <c r="S547" s="1"/>
    </row>
    <row r="548" spans="19:19" x14ac:dyDescent="0.35">
      <c r="S548" s="1"/>
    </row>
    <row r="549" spans="19:19" x14ac:dyDescent="0.35">
      <c r="S549" s="1"/>
    </row>
    <row r="550" spans="19:19" x14ac:dyDescent="0.35">
      <c r="S550" s="1"/>
    </row>
    <row r="551" spans="19:19" x14ac:dyDescent="0.35">
      <c r="S551" s="1"/>
    </row>
    <row r="552" spans="19:19" x14ac:dyDescent="0.35">
      <c r="S552" s="1"/>
    </row>
    <row r="553" spans="19:19" x14ac:dyDescent="0.35">
      <c r="S553" s="1"/>
    </row>
    <row r="554" spans="19:19" x14ac:dyDescent="0.35">
      <c r="S554" s="1"/>
    </row>
    <row r="555" spans="19:19" x14ac:dyDescent="0.35">
      <c r="S555" s="1"/>
    </row>
    <row r="556" spans="19:19" x14ac:dyDescent="0.35">
      <c r="S556" s="1"/>
    </row>
    <row r="557" spans="19:19" x14ac:dyDescent="0.35">
      <c r="S557" s="1"/>
    </row>
    <row r="558" spans="19:19" x14ac:dyDescent="0.35">
      <c r="S558" s="1"/>
    </row>
    <row r="559" spans="19:19" x14ac:dyDescent="0.35">
      <c r="S559" s="1"/>
    </row>
    <row r="560" spans="19:19" x14ac:dyDescent="0.35">
      <c r="S560" s="1"/>
    </row>
    <row r="561" spans="19:19" x14ac:dyDescent="0.35">
      <c r="S561" s="1"/>
    </row>
    <row r="562" spans="19:19" x14ac:dyDescent="0.35">
      <c r="S562" s="1"/>
    </row>
    <row r="563" spans="19:19" x14ac:dyDescent="0.35">
      <c r="S563" s="1"/>
    </row>
    <row r="564" spans="19:19" x14ac:dyDescent="0.35">
      <c r="S564" s="1"/>
    </row>
    <row r="565" spans="19:19" x14ac:dyDescent="0.35">
      <c r="S565" s="1"/>
    </row>
    <row r="566" spans="19:19" x14ac:dyDescent="0.35">
      <c r="S566" s="1"/>
    </row>
    <row r="567" spans="19:19" x14ac:dyDescent="0.35">
      <c r="S567" s="1"/>
    </row>
    <row r="568" spans="19:19" x14ac:dyDescent="0.35">
      <c r="S568" s="1"/>
    </row>
    <row r="569" spans="19:19" x14ac:dyDescent="0.35">
      <c r="S569" s="1"/>
    </row>
    <row r="570" spans="19:19" x14ac:dyDescent="0.35">
      <c r="S570" s="1"/>
    </row>
    <row r="571" spans="19:19" x14ac:dyDescent="0.35">
      <c r="S571" s="1"/>
    </row>
    <row r="572" spans="19:19" x14ac:dyDescent="0.35">
      <c r="S572" s="1"/>
    </row>
    <row r="573" spans="19:19" x14ac:dyDescent="0.35">
      <c r="S573" s="1"/>
    </row>
    <row r="574" spans="19:19" x14ac:dyDescent="0.35">
      <c r="S574" s="1"/>
    </row>
    <row r="575" spans="19:19" x14ac:dyDescent="0.35">
      <c r="S575" s="1"/>
    </row>
    <row r="576" spans="19:19" x14ac:dyDescent="0.35">
      <c r="S576" s="1"/>
    </row>
    <row r="577" spans="19:19" x14ac:dyDescent="0.35">
      <c r="S577" s="1"/>
    </row>
    <row r="578" spans="19:19" x14ac:dyDescent="0.35">
      <c r="S578" s="1"/>
    </row>
    <row r="579" spans="19:19" x14ac:dyDescent="0.35">
      <c r="S579" s="1"/>
    </row>
    <row r="580" spans="19:19" x14ac:dyDescent="0.35">
      <c r="S580" s="1"/>
    </row>
    <row r="581" spans="19:19" x14ac:dyDescent="0.35">
      <c r="S581" s="1"/>
    </row>
    <row r="582" spans="19:19" x14ac:dyDescent="0.35">
      <c r="S582" s="1"/>
    </row>
    <row r="583" spans="19:19" x14ac:dyDescent="0.35">
      <c r="S583" s="1"/>
    </row>
    <row r="584" spans="19:19" x14ac:dyDescent="0.35">
      <c r="S584" s="1"/>
    </row>
    <row r="585" spans="19:19" x14ac:dyDescent="0.35">
      <c r="S585" s="1"/>
    </row>
    <row r="586" spans="19:19" x14ac:dyDescent="0.35">
      <c r="S586" s="1"/>
    </row>
    <row r="587" spans="19:19" x14ac:dyDescent="0.35">
      <c r="S587" s="1"/>
    </row>
    <row r="588" spans="19:19" x14ac:dyDescent="0.35">
      <c r="S588" s="1"/>
    </row>
    <row r="589" spans="19:19" x14ac:dyDescent="0.35">
      <c r="S589" s="1"/>
    </row>
    <row r="590" spans="19:19" x14ac:dyDescent="0.35">
      <c r="S590" s="1"/>
    </row>
    <row r="591" spans="19:19" x14ac:dyDescent="0.35">
      <c r="S591" s="1"/>
    </row>
    <row r="592" spans="19:19" x14ac:dyDescent="0.35">
      <c r="S592" s="1"/>
    </row>
    <row r="593" spans="19:19" x14ac:dyDescent="0.35">
      <c r="S593" s="1"/>
    </row>
    <row r="594" spans="19:19" x14ac:dyDescent="0.35">
      <c r="S594" s="1"/>
    </row>
    <row r="595" spans="19:19" x14ac:dyDescent="0.35">
      <c r="S595" s="1"/>
    </row>
    <row r="596" spans="19:19" x14ac:dyDescent="0.35">
      <c r="S596" s="1"/>
    </row>
    <row r="597" spans="19:19" x14ac:dyDescent="0.35">
      <c r="S597" s="1"/>
    </row>
    <row r="598" spans="19:19" x14ac:dyDescent="0.35">
      <c r="S598" s="1"/>
    </row>
    <row r="599" spans="19:19" x14ac:dyDescent="0.35">
      <c r="S599" s="1"/>
    </row>
    <row r="600" spans="19:19" x14ac:dyDescent="0.35">
      <c r="S600" s="1"/>
    </row>
    <row r="601" spans="19:19" x14ac:dyDescent="0.35">
      <c r="S601" s="1"/>
    </row>
    <row r="602" spans="19:19" x14ac:dyDescent="0.35">
      <c r="S602" s="1"/>
    </row>
    <row r="603" spans="19:19" x14ac:dyDescent="0.35">
      <c r="S603" s="1"/>
    </row>
    <row r="604" spans="19:19" x14ac:dyDescent="0.35">
      <c r="S604" s="1"/>
    </row>
    <row r="605" spans="19:19" x14ac:dyDescent="0.35">
      <c r="S605" s="1"/>
    </row>
    <row r="606" spans="19:19" x14ac:dyDescent="0.35">
      <c r="S606" s="1"/>
    </row>
    <row r="607" spans="19:19" x14ac:dyDescent="0.35">
      <c r="S607" s="1"/>
    </row>
    <row r="608" spans="19:19" x14ac:dyDescent="0.35">
      <c r="S608" s="1"/>
    </row>
    <row r="609" spans="19:19" x14ac:dyDescent="0.35">
      <c r="S609" s="1"/>
    </row>
    <row r="610" spans="19:19" x14ac:dyDescent="0.35">
      <c r="S610" s="1"/>
    </row>
    <row r="611" spans="19:19" x14ac:dyDescent="0.35">
      <c r="S611" s="1"/>
    </row>
    <row r="612" spans="19:19" x14ac:dyDescent="0.35">
      <c r="S612" s="1"/>
    </row>
    <row r="613" spans="19:19" x14ac:dyDescent="0.35">
      <c r="S613" s="1"/>
    </row>
    <row r="614" spans="19:19" x14ac:dyDescent="0.35">
      <c r="S614" s="1"/>
    </row>
    <row r="615" spans="19:19" x14ac:dyDescent="0.35">
      <c r="S615" s="1"/>
    </row>
    <row r="616" spans="19:19" x14ac:dyDescent="0.35">
      <c r="S616" s="1"/>
    </row>
    <row r="617" spans="19:19" x14ac:dyDescent="0.35">
      <c r="S617" s="1"/>
    </row>
    <row r="618" spans="19:19" x14ac:dyDescent="0.35">
      <c r="S618" s="1"/>
    </row>
    <row r="619" spans="19:19" x14ac:dyDescent="0.35">
      <c r="S619" s="1"/>
    </row>
    <row r="620" spans="19:19" x14ac:dyDescent="0.35">
      <c r="S620" s="1"/>
    </row>
    <row r="621" spans="19:19" x14ac:dyDescent="0.35">
      <c r="S621" s="1"/>
    </row>
    <row r="622" spans="19:19" x14ac:dyDescent="0.35">
      <c r="S622" s="1"/>
    </row>
    <row r="623" spans="19:19" x14ac:dyDescent="0.35">
      <c r="S623" s="1"/>
    </row>
    <row r="624" spans="19:19" x14ac:dyDescent="0.35">
      <c r="S624" s="1"/>
    </row>
    <row r="625" spans="19:19" x14ac:dyDescent="0.35">
      <c r="S625" s="1"/>
    </row>
    <row r="626" spans="19:19" x14ac:dyDescent="0.35">
      <c r="S626" s="1"/>
    </row>
    <row r="627" spans="19:19" x14ac:dyDescent="0.35">
      <c r="S627" s="1"/>
    </row>
    <row r="628" spans="19:19" x14ac:dyDescent="0.35">
      <c r="S628" s="1"/>
    </row>
    <row r="629" spans="19:19" x14ac:dyDescent="0.35">
      <c r="S629" s="1"/>
    </row>
    <row r="630" spans="19:19" x14ac:dyDescent="0.35">
      <c r="S630" s="1"/>
    </row>
    <row r="631" spans="19:19" x14ac:dyDescent="0.35">
      <c r="S631" s="1"/>
    </row>
    <row r="632" spans="19:19" x14ac:dyDescent="0.35">
      <c r="S632" s="1"/>
    </row>
    <row r="633" spans="19:19" x14ac:dyDescent="0.35">
      <c r="S633" s="1"/>
    </row>
    <row r="634" spans="19:19" x14ac:dyDescent="0.35">
      <c r="S634" s="1"/>
    </row>
    <row r="635" spans="19:19" x14ac:dyDescent="0.35">
      <c r="S635" s="1"/>
    </row>
    <row r="636" spans="19:19" x14ac:dyDescent="0.35">
      <c r="S636" s="1"/>
    </row>
    <row r="637" spans="19:19" x14ac:dyDescent="0.35">
      <c r="S637" s="1"/>
    </row>
    <row r="638" spans="19:19" x14ac:dyDescent="0.35">
      <c r="S638" s="1"/>
    </row>
    <row r="639" spans="19:19" x14ac:dyDescent="0.35">
      <c r="S639" s="1"/>
    </row>
    <row r="640" spans="19:19" x14ac:dyDescent="0.35">
      <c r="S640" s="1"/>
    </row>
    <row r="641" spans="19:19" x14ac:dyDescent="0.35">
      <c r="S641" s="1"/>
    </row>
    <row r="642" spans="19:19" x14ac:dyDescent="0.35">
      <c r="S642" s="1"/>
    </row>
    <row r="643" spans="19:19" x14ac:dyDescent="0.35">
      <c r="S643" s="1"/>
    </row>
    <row r="644" spans="19:19" x14ac:dyDescent="0.35">
      <c r="S644" s="1"/>
    </row>
    <row r="645" spans="19:19" x14ac:dyDescent="0.35">
      <c r="S645" s="1"/>
    </row>
    <row r="646" spans="19:19" x14ac:dyDescent="0.35">
      <c r="S646" s="1"/>
    </row>
    <row r="647" spans="19:19" x14ac:dyDescent="0.35">
      <c r="S647" s="1"/>
    </row>
    <row r="648" spans="19:19" x14ac:dyDescent="0.35">
      <c r="S648" s="1"/>
    </row>
    <row r="649" spans="19:19" x14ac:dyDescent="0.35">
      <c r="S649" s="1"/>
    </row>
    <row r="650" spans="19:19" x14ac:dyDescent="0.35">
      <c r="S650" s="1"/>
    </row>
    <row r="651" spans="19:19" x14ac:dyDescent="0.35">
      <c r="S651" s="1"/>
    </row>
    <row r="652" spans="19:19" x14ac:dyDescent="0.35">
      <c r="S652" s="1"/>
    </row>
    <row r="653" spans="19:19" x14ac:dyDescent="0.35">
      <c r="S653" s="1"/>
    </row>
    <row r="654" spans="19:19" x14ac:dyDescent="0.35">
      <c r="S654" s="1"/>
    </row>
    <row r="655" spans="19:19" x14ac:dyDescent="0.35">
      <c r="S655" s="1"/>
    </row>
    <row r="656" spans="19:19" x14ac:dyDescent="0.35">
      <c r="S656" s="1"/>
    </row>
    <row r="657" spans="19:19" x14ac:dyDescent="0.35">
      <c r="S657" s="1"/>
    </row>
    <row r="658" spans="19:19" x14ac:dyDescent="0.35">
      <c r="S658" s="1"/>
    </row>
    <row r="659" spans="19:19" x14ac:dyDescent="0.35">
      <c r="S659" s="1"/>
    </row>
    <row r="660" spans="19:19" x14ac:dyDescent="0.35">
      <c r="S660" s="1"/>
    </row>
    <row r="661" spans="19:19" x14ac:dyDescent="0.35">
      <c r="S661" s="1"/>
    </row>
    <row r="662" spans="19:19" x14ac:dyDescent="0.35">
      <c r="S662" s="1"/>
    </row>
    <row r="663" spans="19:19" x14ac:dyDescent="0.35">
      <c r="S663" s="1"/>
    </row>
    <row r="664" spans="19:19" x14ac:dyDescent="0.35">
      <c r="S664" s="1"/>
    </row>
    <row r="665" spans="19:19" x14ac:dyDescent="0.35">
      <c r="S665" s="1"/>
    </row>
    <row r="666" spans="19:19" x14ac:dyDescent="0.35">
      <c r="S666" s="1"/>
    </row>
    <row r="667" spans="19:19" x14ac:dyDescent="0.35">
      <c r="S667" s="1"/>
    </row>
    <row r="668" spans="19:19" x14ac:dyDescent="0.35">
      <c r="S668" s="1"/>
    </row>
    <row r="669" spans="19:19" x14ac:dyDescent="0.35">
      <c r="S669" s="1"/>
    </row>
    <row r="670" spans="19:19" x14ac:dyDescent="0.35">
      <c r="S670" s="1"/>
    </row>
    <row r="671" spans="19:19" x14ac:dyDescent="0.35">
      <c r="S671" s="1"/>
    </row>
    <row r="672" spans="19:19" x14ac:dyDescent="0.35">
      <c r="S672" s="1"/>
    </row>
    <row r="673" spans="19:19" x14ac:dyDescent="0.35">
      <c r="S673" s="1"/>
    </row>
    <row r="674" spans="19:19" x14ac:dyDescent="0.35">
      <c r="S674" s="1"/>
    </row>
    <row r="675" spans="19:19" x14ac:dyDescent="0.35">
      <c r="S675" s="1"/>
    </row>
    <row r="676" spans="19:19" x14ac:dyDescent="0.35">
      <c r="S676" s="1"/>
    </row>
    <row r="677" spans="19:19" x14ac:dyDescent="0.35">
      <c r="S677" s="1"/>
    </row>
    <row r="678" spans="19:19" x14ac:dyDescent="0.35">
      <c r="S678" s="1"/>
    </row>
    <row r="679" spans="19:19" x14ac:dyDescent="0.35">
      <c r="S679" s="1"/>
    </row>
    <row r="680" spans="19:19" x14ac:dyDescent="0.35">
      <c r="S680" s="1"/>
    </row>
    <row r="681" spans="19:19" x14ac:dyDescent="0.35">
      <c r="S681" s="1"/>
    </row>
    <row r="682" spans="19:19" x14ac:dyDescent="0.35">
      <c r="S682" s="1"/>
    </row>
    <row r="683" spans="19:19" x14ac:dyDescent="0.35">
      <c r="S683" s="1"/>
    </row>
    <row r="684" spans="19:19" x14ac:dyDescent="0.35">
      <c r="S684" s="1"/>
    </row>
    <row r="685" spans="19:19" x14ac:dyDescent="0.35">
      <c r="S685" s="1"/>
    </row>
    <row r="686" spans="19:19" x14ac:dyDescent="0.35">
      <c r="S686" s="1"/>
    </row>
    <row r="687" spans="19:19" x14ac:dyDescent="0.35">
      <c r="S687" s="1"/>
    </row>
    <row r="688" spans="19:19" x14ac:dyDescent="0.35">
      <c r="S688" s="1"/>
    </row>
    <row r="689" spans="19:19" x14ac:dyDescent="0.35">
      <c r="S689" s="1"/>
    </row>
    <row r="690" spans="19:19" x14ac:dyDescent="0.35">
      <c r="S690" s="1"/>
    </row>
    <row r="691" spans="19:19" x14ac:dyDescent="0.35">
      <c r="S691" s="1"/>
    </row>
    <row r="692" spans="19:19" x14ac:dyDescent="0.35">
      <c r="S692" s="1"/>
    </row>
    <row r="693" spans="19:19" x14ac:dyDescent="0.35">
      <c r="S693" s="1"/>
    </row>
    <row r="694" spans="19:19" x14ac:dyDescent="0.35">
      <c r="S694" s="1"/>
    </row>
    <row r="695" spans="19:19" x14ac:dyDescent="0.35">
      <c r="S695" s="1"/>
    </row>
    <row r="696" spans="19:19" x14ac:dyDescent="0.35">
      <c r="S696" s="1"/>
    </row>
    <row r="697" spans="19:19" x14ac:dyDescent="0.35">
      <c r="S697" s="1"/>
    </row>
    <row r="698" spans="19:19" x14ac:dyDescent="0.35">
      <c r="S698" s="1"/>
    </row>
    <row r="699" spans="19:19" x14ac:dyDescent="0.35">
      <c r="S699" s="1"/>
    </row>
    <row r="700" spans="19:19" x14ac:dyDescent="0.35">
      <c r="S700" s="1"/>
    </row>
    <row r="701" spans="19:19" x14ac:dyDescent="0.35">
      <c r="S701" s="1"/>
    </row>
    <row r="702" spans="19:19" x14ac:dyDescent="0.35">
      <c r="S702" s="1"/>
    </row>
    <row r="703" spans="19:19" x14ac:dyDescent="0.35">
      <c r="S703" s="1"/>
    </row>
    <row r="704" spans="19:19" x14ac:dyDescent="0.35">
      <c r="S704" s="1"/>
    </row>
    <row r="705" spans="19:19" x14ac:dyDescent="0.35">
      <c r="S705" s="1"/>
    </row>
    <row r="706" spans="19:19" x14ac:dyDescent="0.35">
      <c r="S706" s="1"/>
    </row>
    <row r="707" spans="19:19" x14ac:dyDescent="0.35">
      <c r="S707" s="1"/>
    </row>
    <row r="708" spans="19:19" x14ac:dyDescent="0.35">
      <c r="S708" s="1"/>
    </row>
    <row r="709" spans="19:19" x14ac:dyDescent="0.35">
      <c r="S709" s="1"/>
    </row>
    <row r="710" spans="19:19" x14ac:dyDescent="0.35">
      <c r="S710" s="1"/>
    </row>
    <row r="711" spans="19:19" x14ac:dyDescent="0.35">
      <c r="S711" s="1"/>
    </row>
    <row r="712" spans="19:19" x14ac:dyDescent="0.35">
      <c r="S712" s="1"/>
    </row>
    <row r="713" spans="19:19" x14ac:dyDescent="0.35">
      <c r="S713" s="1"/>
    </row>
    <row r="714" spans="19:19" x14ac:dyDescent="0.35">
      <c r="S714" s="1"/>
    </row>
    <row r="715" spans="19:19" x14ac:dyDescent="0.35">
      <c r="S715" s="1"/>
    </row>
    <row r="716" spans="19:19" x14ac:dyDescent="0.35">
      <c r="S716" s="1"/>
    </row>
    <row r="717" spans="19:19" x14ac:dyDescent="0.35">
      <c r="S717" s="1"/>
    </row>
    <row r="718" spans="19:19" x14ac:dyDescent="0.35">
      <c r="S718" s="1"/>
    </row>
    <row r="719" spans="19:19" x14ac:dyDescent="0.35">
      <c r="S719" s="1"/>
    </row>
    <row r="720" spans="19:19" x14ac:dyDescent="0.35">
      <c r="S720" s="1"/>
    </row>
    <row r="721" spans="19:19" x14ac:dyDescent="0.35">
      <c r="S721" s="1"/>
    </row>
    <row r="722" spans="19:19" x14ac:dyDescent="0.35">
      <c r="S722" s="1"/>
    </row>
    <row r="723" spans="19:19" x14ac:dyDescent="0.35">
      <c r="S723" s="1"/>
    </row>
    <row r="724" spans="19:19" x14ac:dyDescent="0.35">
      <c r="S724" s="1"/>
    </row>
    <row r="725" spans="19:19" x14ac:dyDescent="0.35">
      <c r="S725" s="1"/>
    </row>
    <row r="726" spans="19:19" x14ac:dyDescent="0.35">
      <c r="S726" s="1"/>
    </row>
    <row r="727" spans="19:19" x14ac:dyDescent="0.35">
      <c r="S727" s="1"/>
    </row>
    <row r="728" spans="19:19" x14ac:dyDescent="0.35">
      <c r="S728" s="1"/>
    </row>
    <row r="729" spans="19:19" x14ac:dyDescent="0.35">
      <c r="S729" s="1"/>
    </row>
    <row r="730" spans="19:19" x14ac:dyDescent="0.35">
      <c r="S730" s="1"/>
    </row>
    <row r="731" spans="19:19" x14ac:dyDescent="0.35">
      <c r="S731" s="1"/>
    </row>
    <row r="732" spans="19:19" x14ac:dyDescent="0.35">
      <c r="S732" s="1"/>
    </row>
    <row r="733" spans="19:19" x14ac:dyDescent="0.35">
      <c r="S733" s="1"/>
    </row>
    <row r="734" spans="19:19" x14ac:dyDescent="0.35">
      <c r="S734" s="1"/>
    </row>
    <row r="735" spans="19:19" x14ac:dyDescent="0.35">
      <c r="S735" s="1"/>
    </row>
    <row r="736" spans="19:19" x14ac:dyDescent="0.35">
      <c r="S736" s="1"/>
    </row>
    <row r="737" spans="19:19" x14ac:dyDescent="0.35">
      <c r="S737" s="1"/>
    </row>
    <row r="738" spans="19:19" x14ac:dyDescent="0.35">
      <c r="S738" s="1"/>
    </row>
    <row r="739" spans="19:19" x14ac:dyDescent="0.35">
      <c r="S739" s="1"/>
    </row>
    <row r="740" spans="19:19" x14ac:dyDescent="0.35">
      <c r="S740" s="1"/>
    </row>
    <row r="741" spans="19:19" x14ac:dyDescent="0.35">
      <c r="S741" s="1"/>
    </row>
    <row r="742" spans="19:19" x14ac:dyDescent="0.35">
      <c r="S742" s="1"/>
    </row>
    <row r="743" spans="19:19" x14ac:dyDescent="0.35">
      <c r="S743" s="1"/>
    </row>
    <row r="744" spans="19:19" x14ac:dyDescent="0.35">
      <c r="S744" s="1"/>
    </row>
    <row r="745" spans="19:19" x14ac:dyDescent="0.35">
      <c r="S745" s="1"/>
    </row>
    <row r="746" spans="19:19" x14ac:dyDescent="0.35">
      <c r="S746" s="1"/>
    </row>
    <row r="747" spans="19:19" x14ac:dyDescent="0.35">
      <c r="S747" s="1"/>
    </row>
    <row r="748" spans="19:19" x14ac:dyDescent="0.35">
      <c r="S748" s="1"/>
    </row>
    <row r="749" spans="19:19" x14ac:dyDescent="0.35">
      <c r="S749" s="1"/>
    </row>
    <row r="750" spans="19:19" x14ac:dyDescent="0.35">
      <c r="S750" s="1"/>
    </row>
    <row r="751" spans="19:19" x14ac:dyDescent="0.35">
      <c r="S751" s="1"/>
    </row>
    <row r="752" spans="19:19" x14ac:dyDescent="0.35">
      <c r="S752" s="1"/>
    </row>
    <row r="753" spans="19:19" x14ac:dyDescent="0.35">
      <c r="S753" s="1"/>
    </row>
    <row r="754" spans="19:19" x14ac:dyDescent="0.35">
      <c r="S754" s="1"/>
    </row>
    <row r="755" spans="19:19" x14ac:dyDescent="0.35">
      <c r="S755" s="1"/>
    </row>
    <row r="756" spans="19:19" x14ac:dyDescent="0.35">
      <c r="S756" s="1"/>
    </row>
    <row r="757" spans="19:19" x14ac:dyDescent="0.35">
      <c r="S757" s="1"/>
    </row>
    <row r="758" spans="19:19" x14ac:dyDescent="0.35">
      <c r="S758" s="1"/>
    </row>
    <row r="759" spans="19:19" x14ac:dyDescent="0.35">
      <c r="S759" s="1"/>
    </row>
    <row r="760" spans="19:19" x14ac:dyDescent="0.35">
      <c r="S760" s="1"/>
    </row>
    <row r="761" spans="19:19" x14ac:dyDescent="0.35">
      <c r="S761" s="1"/>
    </row>
    <row r="762" spans="19:19" x14ac:dyDescent="0.35">
      <c r="S762" s="1"/>
    </row>
    <row r="763" spans="19:19" x14ac:dyDescent="0.35">
      <c r="S763" s="1"/>
    </row>
    <row r="764" spans="19:19" x14ac:dyDescent="0.35">
      <c r="S764" s="1"/>
    </row>
    <row r="765" spans="19:19" x14ac:dyDescent="0.35">
      <c r="S765" s="1"/>
    </row>
    <row r="766" spans="19:19" x14ac:dyDescent="0.35">
      <c r="S766" s="1"/>
    </row>
    <row r="767" spans="19:19" x14ac:dyDescent="0.35">
      <c r="S767" s="1"/>
    </row>
    <row r="768" spans="19:19" x14ac:dyDescent="0.35">
      <c r="S768" s="1"/>
    </row>
    <row r="769" spans="19:19" x14ac:dyDescent="0.35">
      <c r="S769" s="1"/>
    </row>
    <row r="770" spans="19:19" x14ac:dyDescent="0.35">
      <c r="S770" s="1"/>
    </row>
    <row r="771" spans="19:19" x14ac:dyDescent="0.35">
      <c r="S771" s="1"/>
    </row>
    <row r="772" spans="19:19" x14ac:dyDescent="0.35">
      <c r="S772" s="1"/>
    </row>
    <row r="773" spans="19:19" x14ac:dyDescent="0.35">
      <c r="S773" s="1"/>
    </row>
    <row r="774" spans="19:19" x14ac:dyDescent="0.35">
      <c r="S774" s="1"/>
    </row>
    <row r="775" spans="19:19" x14ac:dyDescent="0.35">
      <c r="S775" s="1"/>
    </row>
    <row r="776" spans="19:19" x14ac:dyDescent="0.35">
      <c r="S776" s="1"/>
    </row>
    <row r="777" spans="19:19" x14ac:dyDescent="0.35">
      <c r="S777" s="1"/>
    </row>
    <row r="778" spans="19:19" x14ac:dyDescent="0.35">
      <c r="S778" s="1"/>
    </row>
    <row r="779" spans="19:19" x14ac:dyDescent="0.35">
      <c r="S779" s="1"/>
    </row>
    <row r="780" spans="19:19" x14ac:dyDescent="0.35">
      <c r="S780" s="1"/>
    </row>
    <row r="781" spans="19:19" x14ac:dyDescent="0.35">
      <c r="S781" s="1"/>
    </row>
    <row r="782" spans="19:19" x14ac:dyDescent="0.35">
      <c r="S782" s="1"/>
    </row>
    <row r="783" spans="19:19" x14ac:dyDescent="0.35">
      <c r="S783" s="1"/>
    </row>
    <row r="784" spans="19:19" x14ac:dyDescent="0.35">
      <c r="S784" s="1"/>
    </row>
    <row r="785" spans="19:19" x14ac:dyDescent="0.35">
      <c r="S785" s="1"/>
    </row>
    <row r="786" spans="19:19" x14ac:dyDescent="0.35">
      <c r="S786" s="1"/>
    </row>
    <row r="787" spans="19:19" x14ac:dyDescent="0.35">
      <c r="S787" s="1"/>
    </row>
    <row r="788" spans="19:19" x14ac:dyDescent="0.35">
      <c r="S788" s="1"/>
    </row>
    <row r="789" spans="19:19" x14ac:dyDescent="0.35">
      <c r="S789" s="1"/>
    </row>
    <row r="790" spans="19:19" x14ac:dyDescent="0.35">
      <c r="S790" s="1"/>
    </row>
    <row r="791" spans="19:19" x14ac:dyDescent="0.35">
      <c r="S791" s="1"/>
    </row>
    <row r="792" spans="19:19" x14ac:dyDescent="0.35">
      <c r="S792" s="1"/>
    </row>
    <row r="793" spans="19:19" x14ac:dyDescent="0.35">
      <c r="S793" s="1"/>
    </row>
    <row r="794" spans="19:19" x14ac:dyDescent="0.35">
      <c r="S794" s="1"/>
    </row>
    <row r="795" spans="19:19" x14ac:dyDescent="0.35">
      <c r="S795" s="1"/>
    </row>
    <row r="796" spans="19:19" x14ac:dyDescent="0.35">
      <c r="S796" s="1"/>
    </row>
    <row r="797" spans="19:19" x14ac:dyDescent="0.35">
      <c r="S797" s="1"/>
    </row>
    <row r="798" spans="19:19" x14ac:dyDescent="0.35">
      <c r="S798" s="1"/>
    </row>
    <row r="799" spans="19:19" x14ac:dyDescent="0.35">
      <c r="S799" s="1"/>
    </row>
    <row r="800" spans="19:19" x14ac:dyDescent="0.35">
      <c r="S800" s="1"/>
    </row>
    <row r="801" spans="19:19" x14ac:dyDescent="0.35">
      <c r="S801" s="1"/>
    </row>
    <row r="802" spans="19:19" x14ac:dyDescent="0.35">
      <c r="S802" s="1"/>
    </row>
    <row r="803" spans="19:19" x14ac:dyDescent="0.35">
      <c r="S803" s="1"/>
    </row>
    <row r="804" spans="19:19" x14ac:dyDescent="0.35">
      <c r="S804" s="1"/>
    </row>
    <row r="805" spans="19:19" x14ac:dyDescent="0.35">
      <c r="S805" s="1"/>
    </row>
    <row r="806" spans="19:19" x14ac:dyDescent="0.35">
      <c r="S806" s="1"/>
    </row>
    <row r="807" spans="19:19" x14ac:dyDescent="0.35">
      <c r="S807" s="1"/>
    </row>
    <row r="808" spans="19:19" x14ac:dyDescent="0.35">
      <c r="S808" s="1"/>
    </row>
    <row r="809" spans="19:19" x14ac:dyDescent="0.35">
      <c r="S809" s="1"/>
    </row>
    <row r="810" spans="19:19" x14ac:dyDescent="0.35">
      <c r="S810" s="1"/>
    </row>
    <row r="811" spans="19:19" x14ac:dyDescent="0.35">
      <c r="S811" s="1"/>
    </row>
    <row r="812" spans="19:19" x14ac:dyDescent="0.35">
      <c r="S812" s="1"/>
    </row>
    <row r="813" spans="19:19" x14ac:dyDescent="0.35">
      <c r="S813" s="1"/>
    </row>
    <row r="814" spans="19:19" x14ac:dyDescent="0.35">
      <c r="S814" s="1"/>
    </row>
    <row r="815" spans="19:19" x14ac:dyDescent="0.35">
      <c r="S815" s="1"/>
    </row>
    <row r="816" spans="19:19" x14ac:dyDescent="0.35">
      <c r="S816" s="1"/>
    </row>
    <row r="817" spans="19:19" x14ac:dyDescent="0.35">
      <c r="S817" s="1"/>
    </row>
    <row r="818" spans="19:19" x14ac:dyDescent="0.35">
      <c r="S818" s="1"/>
    </row>
    <row r="819" spans="19:19" x14ac:dyDescent="0.35">
      <c r="S819" s="1"/>
    </row>
    <row r="820" spans="19:19" x14ac:dyDescent="0.35">
      <c r="S820" s="1"/>
    </row>
    <row r="821" spans="19:19" x14ac:dyDescent="0.35">
      <c r="S821" s="1"/>
    </row>
    <row r="822" spans="19:19" x14ac:dyDescent="0.35">
      <c r="S822" s="1"/>
    </row>
    <row r="823" spans="19:19" x14ac:dyDescent="0.35">
      <c r="S823" s="1"/>
    </row>
    <row r="824" spans="19:19" x14ac:dyDescent="0.35">
      <c r="S824" s="1"/>
    </row>
    <row r="825" spans="19:19" x14ac:dyDescent="0.35">
      <c r="S825" s="1"/>
    </row>
    <row r="826" spans="19:19" x14ac:dyDescent="0.35">
      <c r="S826" s="1"/>
    </row>
    <row r="827" spans="19:19" x14ac:dyDescent="0.35">
      <c r="S827" s="1"/>
    </row>
    <row r="828" spans="19:19" x14ac:dyDescent="0.35">
      <c r="S828" s="1"/>
    </row>
    <row r="829" spans="19:19" x14ac:dyDescent="0.35">
      <c r="S829" s="1"/>
    </row>
    <row r="830" spans="19:19" x14ac:dyDescent="0.35">
      <c r="S830" s="1"/>
    </row>
    <row r="831" spans="19:19" x14ac:dyDescent="0.35">
      <c r="S831" s="1"/>
    </row>
    <row r="832" spans="19:19" x14ac:dyDescent="0.35">
      <c r="S832" s="1"/>
    </row>
    <row r="833" spans="19:19" x14ac:dyDescent="0.35">
      <c r="S833" s="1"/>
    </row>
    <row r="834" spans="19:19" x14ac:dyDescent="0.35">
      <c r="S834" s="1"/>
    </row>
    <row r="835" spans="19:19" x14ac:dyDescent="0.35">
      <c r="S835" s="1"/>
    </row>
    <row r="836" spans="19:19" x14ac:dyDescent="0.35">
      <c r="S836" s="1"/>
    </row>
    <row r="837" spans="19:19" x14ac:dyDescent="0.35">
      <c r="S837" s="1"/>
    </row>
    <row r="838" spans="19:19" x14ac:dyDescent="0.35">
      <c r="S838" s="1"/>
    </row>
    <row r="839" spans="19:19" x14ac:dyDescent="0.35">
      <c r="S839" s="1"/>
    </row>
    <row r="840" spans="19:19" x14ac:dyDescent="0.35">
      <c r="S840" s="1"/>
    </row>
    <row r="841" spans="19:19" x14ac:dyDescent="0.35">
      <c r="S841" s="1"/>
    </row>
    <row r="842" spans="19:19" x14ac:dyDescent="0.35">
      <c r="S842" s="1"/>
    </row>
    <row r="843" spans="19:19" x14ac:dyDescent="0.35">
      <c r="S843" s="1"/>
    </row>
    <row r="844" spans="19:19" x14ac:dyDescent="0.35">
      <c r="S844" s="1"/>
    </row>
    <row r="845" spans="19:19" x14ac:dyDescent="0.35">
      <c r="S845" s="1"/>
    </row>
    <row r="846" spans="19:19" x14ac:dyDescent="0.35">
      <c r="S846" s="1"/>
    </row>
    <row r="847" spans="19:19" x14ac:dyDescent="0.35">
      <c r="S847" s="1"/>
    </row>
    <row r="848" spans="19:19" x14ac:dyDescent="0.35">
      <c r="S848" s="1"/>
    </row>
    <row r="849" spans="19:19" x14ac:dyDescent="0.35">
      <c r="S849" s="1"/>
    </row>
    <row r="850" spans="19:19" x14ac:dyDescent="0.35">
      <c r="S850" s="1"/>
    </row>
    <row r="851" spans="19:19" x14ac:dyDescent="0.35">
      <c r="S851" s="1"/>
    </row>
    <row r="852" spans="19:19" x14ac:dyDescent="0.35">
      <c r="S852" s="1"/>
    </row>
    <row r="853" spans="19:19" x14ac:dyDescent="0.35">
      <c r="S853" s="1"/>
    </row>
    <row r="854" spans="19:19" x14ac:dyDescent="0.35">
      <c r="S854" s="1"/>
    </row>
    <row r="855" spans="19:19" x14ac:dyDescent="0.35">
      <c r="S855" s="1"/>
    </row>
    <row r="856" spans="19:19" x14ac:dyDescent="0.35">
      <c r="S856" s="1"/>
    </row>
    <row r="857" spans="19:19" x14ac:dyDescent="0.35">
      <c r="S857" s="1"/>
    </row>
    <row r="858" spans="19:19" x14ac:dyDescent="0.35">
      <c r="S858" s="1"/>
    </row>
    <row r="859" spans="19:19" x14ac:dyDescent="0.35">
      <c r="S859" s="1"/>
    </row>
    <row r="860" spans="19:19" x14ac:dyDescent="0.35">
      <c r="S860" s="1"/>
    </row>
    <row r="861" spans="19:19" x14ac:dyDescent="0.35">
      <c r="S861" s="1"/>
    </row>
    <row r="862" spans="19:19" x14ac:dyDescent="0.35">
      <c r="S862" s="1"/>
    </row>
    <row r="863" spans="19:19" x14ac:dyDescent="0.35">
      <c r="S863" s="1"/>
    </row>
    <row r="864" spans="19:19" x14ac:dyDescent="0.35">
      <c r="S864" s="1"/>
    </row>
    <row r="865" spans="19:19" x14ac:dyDescent="0.35">
      <c r="S865" s="1"/>
    </row>
    <row r="866" spans="19:19" x14ac:dyDescent="0.35">
      <c r="S866" s="1"/>
    </row>
    <row r="867" spans="19:19" x14ac:dyDescent="0.35">
      <c r="S867" s="1"/>
    </row>
    <row r="868" spans="19:19" x14ac:dyDescent="0.35">
      <c r="S868" s="1"/>
    </row>
    <row r="869" spans="19:19" x14ac:dyDescent="0.35">
      <c r="S869" s="1"/>
    </row>
    <row r="870" spans="19:19" x14ac:dyDescent="0.35">
      <c r="S870" s="1"/>
    </row>
    <row r="871" spans="19:19" x14ac:dyDescent="0.35">
      <c r="S871" s="1"/>
    </row>
    <row r="872" spans="19:19" x14ac:dyDescent="0.35">
      <c r="S872" s="1"/>
    </row>
    <row r="873" spans="19:19" x14ac:dyDescent="0.35">
      <c r="S873" s="1"/>
    </row>
    <row r="874" spans="19:19" x14ac:dyDescent="0.35">
      <c r="S874" s="1"/>
    </row>
    <row r="875" spans="19:19" x14ac:dyDescent="0.35">
      <c r="S875" s="1"/>
    </row>
    <row r="876" spans="19:19" x14ac:dyDescent="0.35">
      <c r="S876" s="1"/>
    </row>
    <row r="877" spans="19:19" x14ac:dyDescent="0.35">
      <c r="S877" s="1"/>
    </row>
    <row r="878" spans="19:19" x14ac:dyDescent="0.35">
      <c r="S878" s="1"/>
    </row>
    <row r="879" spans="19:19" x14ac:dyDescent="0.35">
      <c r="S879" s="1"/>
    </row>
    <row r="880" spans="19:19" x14ac:dyDescent="0.35">
      <c r="S880" s="1"/>
    </row>
    <row r="881" spans="19:19" x14ac:dyDescent="0.35">
      <c r="S881" s="1"/>
    </row>
    <row r="882" spans="19:19" x14ac:dyDescent="0.35">
      <c r="S882" s="1"/>
    </row>
    <row r="883" spans="19:19" x14ac:dyDescent="0.35">
      <c r="S883" s="1"/>
    </row>
    <row r="884" spans="19:19" x14ac:dyDescent="0.35">
      <c r="S884" s="1"/>
    </row>
    <row r="885" spans="19:19" x14ac:dyDescent="0.35">
      <c r="S885" s="1"/>
    </row>
    <row r="886" spans="19:19" x14ac:dyDescent="0.35">
      <c r="S886" s="1"/>
    </row>
    <row r="887" spans="19:19" x14ac:dyDescent="0.35">
      <c r="S887" s="1"/>
    </row>
    <row r="888" spans="19:19" x14ac:dyDescent="0.35">
      <c r="S888" s="1"/>
    </row>
    <row r="889" spans="19:19" x14ac:dyDescent="0.35">
      <c r="S889" s="1"/>
    </row>
    <row r="890" spans="19:19" x14ac:dyDescent="0.35">
      <c r="S890" s="1"/>
    </row>
    <row r="891" spans="19:19" x14ac:dyDescent="0.35">
      <c r="S891" s="1"/>
    </row>
    <row r="892" spans="19:19" x14ac:dyDescent="0.35">
      <c r="S892" s="1"/>
    </row>
    <row r="893" spans="19:19" x14ac:dyDescent="0.35">
      <c r="S893" s="1"/>
    </row>
    <row r="894" spans="19:19" x14ac:dyDescent="0.35">
      <c r="S894" s="1"/>
    </row>
    <row r="895" spans="19:19" x14ac:dyDescent="0.35">
      <c r="S895" s="1"/>
    </row>
    <row r="896" spans="19:19" x14ac:dyDescent="0.35">
      <c r="S896" s="1"/>
    </row>
    <row r="897" spans="19:19" x14ac:dyDescent="0.35">
      <c r="S897" s="1"/>
    </row>
    <row r="898" spans="19:19" x14ac:dyDescent="0.35">
      <c r="S898" s="1"/>
    </row>
    <row r="899" spans="19:19" x14ac:dyDescent="0.35">
      <c r="S899" s="1"/>
    </row>
    <row r="900" spans="19:19" x14ac:dyDescent="0.35">
      <c r="S900" s="1"/>
    </row>
    <row r="901" spans="19:19" x14ac:dyDescent="0.35">
      <c r="S901" s="1"/>
    </row>
    <row r="902" spans="19:19" x14ac:dyDescent="0.35">
      <c r="S902" s="1"/>
    </row>
    <row r="903" spans="19:19" x14ac:dyDescent="0.35">
      <c r="S903" s="1"/>
    </row>
    <row r="904" spans="19:19" x14ac:dyDescent="0.35">
      <c r="S904" s="1"/>
    </row>
    <row r="905" spans="19:19" x14ac:dyDescent="0.35">
      <c r="S905" s="1"/>
    </row>
    <row r="906" spans="19:19" x14ac:dyDescent="0.35">
      <c r="S906" s="1"/>
    </row>
    <row r="907" spans="19:19" x14ac:dyDescent="0.35">
      <c r="S907" s="1"/>
    </row>
    <row r="908" spans="19:19" x14ac:dyDescent="0.35">
      <c r="S908" s="1"/>
    </row>
    <row r="909" spans="19:19" x14ac:dyDescent="0.35">
      <c r="S909" s="1"/>
    </row>
    <row r="910" spans="19:19" x14ac:dyDescent="0.35">
      <c r="S910" s="1"/>
    </row>
    <row r="911" spans="19:19" x14ac:dyDescent="0.35">
      <c r="S911" s="1"/>
    </row>
    <row r="912" spans="19:19" x14ac:dyDescent="0.35">
      <c r="S912" s="1"/>
    </row>
    <row r="913" spans="19:19" x14ac:dyDescent="0.35">
      <c r="S913" s="1"/>
    </row>
    <row r="914" spans="19:19" x14ac:dyDescent="0.35">
      <c r="S914" s="1"/>
    </row>
    <row r="915" spans="19:19" x14ac:dyDescent="0.35">
      <c r="S915" s="1"/>
    </row>
    <row r="916" spans="19:19" x14ac:dyDescent="0.35">
      <c r="S916" s="1"/>
    </row>
    <row r="917" spans="19:19" x14ac:dyDescent="0.35">
      <c r="S917" s="1"/>
    </row>
    <row r="918" spans="19:19" x14ac:dyDescent="0.35">
      <c r="S918" s="1"/>
    </row>
    <row r="919" spans="19:19" x14ac:dyDescent="0.35">
      <c r="S919" s="1"/>
    </row>
    <row r="920" spans="19:19" x14ac:dyDescent="0.35">
      <c r="S920" s="1"/>
    </row>
    <row r="921" spans="19:19" x14ac:dyDescent="0.35">
      <c r="S921" s="1"/>
    </row>
    <row r="922" spans="19:19" x14ac:dyDescent="0.35">
      <c r="S922" s="1"/>
    </row>
    <row r="923" spans="19:19" x14ac:dyDescent="0.35">
      <c r="S923" s="1"/>
    </row>
    <row r="924" spans="19:19" x14ac:dyDescent="0.35">
      <c r="S924" s="1"/>
    </row>
    <row r="925" spans="19:19" x14ac:dyDescent="0.35">
      <c r="S925" s="1"/>
    </row>
    <row r="926" spans="19:19" x14ac:dyDescent="0.35">
      <c r="S926" s="1"/>
    </row>
    <row r="927" spans="19:19" x14ac:dyDescent="0.35">
      <c r="S927" s="1"/>
    </row>
    <row r="928" spans="19:19" x14ac:dyDescent="0.35">
      <c r="S928" s="1"/>
    </row>
    <row r="929" spans="19:19" x14ac:dyDescent="0.35">
      <c r="S929" s="1"/>
    </row>
    <row r="930" spans="19:19" x14ac:dyDescent="0.35">
      <c r="S930" s="1"/>
    </row>
    <row r="931" spans="19:19" x14ac:dyDescent="0.35">
      <c r="S931" s="1"/>
    </row>
    <row r="932" spans="19:19" x14ac:dyDescent="0.35">
      <c r="S932" s="1"/>
    </row>
    <row r="933" spans="19:19" x14ac:dyDescent="0.35">
      <c r="S933" s="1"/>
    </row>
    <row r="934" spans="19:19" x14ac:dyDescent="0.35">
      <c r="S934" s="1"/>
    </row>
    <row r="935" spans="19:19" x14ac:dyDescent="0.35">
      <c r="S935" s="1"/>
    </row>
    <row r="936" spans="19:19" x14ac:dyDescent="0.35">
      <c r="S936" s="1"/>
    </row>
    <row r="937" spans="19:19" x14ac:dyDescent="0.35">
      <c r="S937" s="1"/>
    </row>
    <row r="938" spans="19:19" x14ac:dyDescent="0.35">
      <c r="S938" s="1"/>
    </row>
    <row r="939" spans="19:19" x14ac:dyDescent="0.35">
      <c r="S939" s="1"/>
    </row>
    <row r="940" spans="19:19" x14ac:dyDescent="0.35">
      <c r="S940" s="1"/>
    </row>
    <row r="941" spans="19:19" x14ac:dyDescent="0.35">
      <c r="S941" s="1"/>
    </row>
    <row r="942" spans="19:19" x14ac:dyDescent="0.35">
      <c r="S942" s="1"/>
    </row>
    <row r="943" spans="19:19" x14ac:dyDescent="0.35">
      <c r="S943" s="1"/>
    </row>
    <row r="944" spans="19:19" x14ac:dyDescent="0.35">
      <c r="S944" s="1"/>
    </row>
    <row r="945" spans="19:19" x14ac:dyDescent="0.35">
      <c r="S945" s="1"/>
    </row>
    <row r="946" spans="19:19" x14ac:dyDescent="0.35">
      <c r="S946" s="1"/>
    </row>
    <row r="947" spans="19:19" x14ac:dyDescent="0.35">
      <c r="S947" s="1"/>
    </row>
    <row r="948" spans="19:19" x14ac:dyDescent="0.35">
      <c r="S948" s="1"/>
    </row>
    <row r="949" spans="19:19" x14ac:dyDescent="0.35">
      <c r="S949" s="1"/>
    </row>
    <row r="950" spans="19:19" x14ac:dyDescent="0.35">
      <c r="S950" s="1"/>
    </row>
    <row r="951" spans="19:19" x14ac:dyDescent="0.35">
      <c r="S951" s="1"/>
    </row>
    <row r="952" spans="19:19" x14ac:dyDescent="0.35">
      <c r="S952" s="1"/>
    </row>
    <row r="953" spans="19:19" x14ac:dyDescent="0.35">
      <c r="S953" s="1"/>
    </row>
    <row r="954" spans="19:19" x14ac:dyDescent="0.35">
      <c r="S954" s="1"/>
    </row>
    <row r="955" spans="19:19" x14ac:dyDescent="0.35">
      <c r="S955" s="1"/>
    </row>
    <row r="956" spans="19:19" x14ac:dyDescent="0.35">
      <c r="S956" s="1"/>
    </row>
    <row r="957" spans="19:19" x14ac:dyDescent="0.35">
      <c r="S957" s="1"/>
    </row>
    <row r="958" spans="19:19" x14ac:dyDescent="0.35">
      <c r="S958" s="1"/>
    </row>
    <row r="959" spans="19:19" x14ac:dyDescent="0.35">
      <c r="S959" s="1"/>
    </row>
    <row r="960" spans="19:19" x14ac:dyDescent="0.35">
      <c r="S960" s="1"/>
    </row>
    <row r="961" spans="19:19" x14ac:dyDescent="0.35">
      <c r="S961" s="1"/>
    </row>
    <row r="962" spans="19:19" x14ac:dyDescent="0.35">
      <c r="S962" s="1"/>
    </row>
    <row r="963" spans="19:19" x14ac:dyDescent="0.35">
      <c r="S963" s="1"/>
    </row>
    <row r="964" spans="19:19" x14ac:dyDescent="0.35">
      <c r="S964" s="1"/>
    </row>
    <row r="965" spans="19:19" x14ac:dyDescent="0.35">
      <c r="S965" s="1"/>
    </row>
    <row r="966" spans="19:19" x14ac:dyDescent="0.35">
      <c r="S966" s="1"/>
    </row>
    <row r="967" spans="19:19" x14ac:dyDescent="0.35">
      <c r="S967" s="1"/>
    </row>
    <row r="968" spans="19:19" x14ac:dyDescent="0.35">
      <c r="S968" s="1"/>
    </row>
    <row r="969" spans="19:19" x14ac:dyDescent="0.35">
      <c r="S969" s="1"/>
    </row>
    <row r="970" spans="19:19" x14ac:dyDescent="0.35">
      <c r="S970" s="1"/>
    </row>
    <row r="971" spans="19:19" x14ac:dyDescent="0.35">
      <c r="S971" s="1"/>
    </row>
    <row r="972" spans="19:19" x14ac:dyDescent="0.35">
      <c r="S972" s="1"/>
    </row>
    <row r="973" spans="19:19" x14ac:dyDescent="0.35">
      <c r="S973" s="1"/>
    </row>
    <row r="974" spans="19:19" x14ac:dyDescent="0.35">
      <c r="S974" s="1"/>
    </row>
    <row r="975" spans="19:19" x14ac:dyDescent="0.35">
      <c r="S975" s="1"/>
    </row>
    <row r="976" spans="19:19" x14ac:dyDescent="0.35">
      <c r="S976" s="1"/>
    </row>
    <row r="977" spans="19:19" x14ac:dyDescent="0.35">
      <c r="S977" s="1"/>
    </row>
    <row r="978" spans="19:19" x14ac:dyDescent="0.35">
      <c r="S978" s="1"/>
    </row>
    <row r="979" spans="19:19" x14ac:dyDescent="0.35">
      <c r="S979" s="1"/>
    </row>
    <row r="980" spans="19:19" x14ac:dyDescent="0.35">
      <c r="S980" s="1"/>
    </row>
    <row r="981" spans="19:19" x14ac:dyDescent="0.35">
      <c r="S981" s="1"/>
    </row>
    <row r="982" spans="19:19" x14ac:dyDescent="0.35">
      <c r="S982" s="1"/>
    </row>
    <row r="983" spans="19:19" x14ac:dyDescent="0.35">
      <c r="S983" s="1"/>
    </row>
    <row r="984" spans="19:19" x14ac:dyDescent="0.35">
      <c r="S984" s="1"/>
    </row>
    <row r="985" spans="19:19" x14ac:dyDescent="0.35">
      <c r="S985" s="1"/>
    </row>
    <row r="986" spans="19:19" x14ac:dyDescent="0.35">
      <c r="S986" s="1"/>
    </row>
    <row r="987" spans="19:19" x14ac:dyDescent="0.35">
      <c r="S987" s="1"/>
    </row>
    <row r="988" spans="19:19" x14ac:dyDescent="0.35">
      <c r="S988" s="1"/>
    </row>
    <row r="989" spans="19:19" x14ac:dyDescent="0.35">
      <c r="S989" s="1"/>
    </row>
    <row r="990" spans="19:19" x14ac:dyDescent="0.35">
      <c r="S990" s="1"/>
    </row>
    <row r="991" spans="19:19" x14ac:dyDescent="0.35">
      <c r="S991" s="1"/>
    </row>
    <row r="992" spans="19:19" x14ac:dyDescent="0.35">
      <c r="S992" s="1"/>
    </row>
    <row r="993" spans="19:19" x14ac:dyDescent="0.35">
      <c r="S993" s="1"/>
    </row>
    <row r="994" spans="19:19" x14ac:dyDescent="0.35">
      <c r="S994" s="1"/>
    </row>
    <row r="995" spans="19:19" x14ac:dyDescent="0.35">
      <c r="S995" s="1"/>
    </row>
    <row r="996" spans="19:19" x14ac:dyDescent="0.35">
      <c r="S996" s="1"/>
    </row>
    <row r="997" spans="19:19" x14ac:dyDescent="0.35">
      <c r="S997" s="1"/>
    </row>
    <row r="998" spans="19:19" x14ac:dyDescent="0.35">
      <c r="S998" s="1"/>
    </row>
    <row r="999" spans="19:19" x14ac:dyDescent="0.35">
      <c r="S999" s="1"/>
    </row>
    <row r="1000" spans="19:19" x14ac:dyDescent="0.35">
      <c r="S1000" s="1"/>
    </row>
    <row r="1001" spans="19:19" x14ac:dyDescent="0.35">
      <c r="S1001" s="1"/>
    </row>
    <row r="1002" spans="19:19" x14ac:dyDescent="0.35">
      <c r="S1002" s="1"/>
    </row>
    <row r="1003" spans="19:19" x14ac:dyDescent="0.35">
      <c r="S1003" s="1"/>
    </row>
    <row r="1004" spans="19:19" x14ac:dyDescent="0.35">
      <c r="S1004" s="1"/>
    </row>
    <row r="1005" spans="19:19" x14ac:dyDescent="0.35">
      <c r="S1005" s="1"/>
    </row>
    <row r="1006" spans="19:19" x14ac:dyDescent="0.35">
      <c r="S1006" s="1"/>
    </row>
    <row r="1007" spans="19:19" x14ac:dyDescent="0.35">
      <c r="S1007" s="1"/>
    </row>
    <row r="1008" spans="19:19" x14ac:dyDescent="0.35">
      <c r="S1008" s="1"/>
    </row>
    <row r="1009" spans="19:19" x14ac:dyDescent="0.35">
      <c r="S1009" s="1"/>
    </row>
    <row r="1010" spans="19:19" x14ac:dyDescent="0.35">
      <c r="S1010" s="1"/>
    </row>
    <row r="1011" spans="19:19" x14ac:dyDescent="0.35">
      <c r="S1011" s="1"/>
    </row>
    <row r="1012" spans="19:19" x14ac:dyDescent="0.35">
      <c r="S1012" s="1"/>
    </row>
    <row r="1013" spans="19:19" x14ac:dyDescent="0.35">
      <c r="S1013" s="1"/>
    </row>
    <row r="1014" spans="19:19" x14ac:dyDescent="0.35">
      <c r="S1014" s="1"/>
    </row>
    <row r="1015" spans="19:19" x14ac:dyDescent="0.35">
      <c r="S1015" s="1"/>
    </row>
    <row r="1016" spans="19:19" x14ac:dyDescent="0.35">
      <c r="S1016" s="1"/>
    </row>
    <row r="1017" spans="19:19" x14ac:dyDescent="0.35">
      <c r="S1017" s="1"/>
    </row>
    <row r="1018" spans="19:19" x14ac:dyDescent="0.35">
      <c r="S1018" s="1"/>
    </row>
    <row r="1019" spans="19:19" x14ac:dyDescent="0.35">
      <c r="S1019" s="1"/>
    </row>
    <row r="1020" spans="19:19" x14ac:dyDescent="0.35">
      <c r="S1020" s="1"/>
    </row>
    <row r="1021" spans="19:19" x14ac:dyDescent="0.35">
      <c r="S1021" s="1"/>
    </row>
    <row r="1022" spans="19:19" x14ac:dyDescent="0.35">
      <c r="S1022" s="1"/>
    </row>
    <row r="1023" spans="19:19" x14ac:dyDescent="0.35">
      <c r="S1023" s="1"/>
    </row>
    <row r="1024" spans="19:19" x14ac:dyDescent="0.35">
      <c r="S1024" s="1"/>
    </row>
    <row r="1025" spans="19:19" x14ac:dyDescent="0.35">
      <c r="S1025" s="1"/>
    </row>
    <row r="1026" spans="19:19" x14ac:dyDescent="0.35">
      <c r="S1026" s="1"/>
    </row>
    <row r="1027" spans="19:19" x14ac:dyDescent="0.35">
      <c r="S1027" s="1"/>
    </row>
    <row r="1028" spans="19:19" x14ac:dyDescent="0.35">
      <c r="S1028" s="1"/>
    </row>
    <row r="1029" spans="19:19" x14ac:dyDescent="0.35">
      <c r="S1029" s="1"/>
    </row>
    <row r="1030" spans="19:19" x14ac:dyDescent="0.35">
      <c r="S1030" s="1"/>
    </row>
    <row r="1031" spans="19:19" x14ac:dyDescent="0.35">
      <c r="S1031" s="1"/>
    </row>
    <row r="1032" spans="19:19" x14ac:dyDescent="0.35">
      <c r="S1032" s="1"/>
    </row>
    <row r="1033" spans="19:19" x14ac:dyDescent="0.35">
      <c r="S1033" s="1"/>
    </row>
    <row r="1034" spans="19:19" x14ac:dyDescent="0.35">
      <c r="S1034" s="1"/>
    </row>
    <row r="1035" spans="19:19" x14ac:dyDescent="0.35">
      <c r="S1035" s="1"/>
    </row>
    <row r="1036" spans="19:19" x14ac:dyDescent="0.35">
      <c r="S1036" s="1"/>
    </row>
    <row r="1037" spans="19:19" x14ac:dyDescent="0.35">
      <c r="S1037" s="1"/>
    </row>
    <row r="1038" spans="19:19" x14ac:dyDescent="0.35">
      <c r="S1038" s="1"/>
    </row>
    <row r="1039" spans="19:19" x14ac:dyDescent="0.35">
      <c r="S1039" s="1"/>
    </row>
    <row r="1040" spans="19:19" x14ac:dyDescent="0.35">
      <c r="S1040" s="1"/>
    </row>
    <row r="1041" spans="19:19" x14ac:dyDescent="0.35">
      <c r="S1041" s="1"/>
    </row>
    <row r="1042" spans="19:19" x14ac:dyDescent="0.35">
      <c r="S1042" s="1"/>
    </row>
    <row r="1043" spans="19:19" x14ac:dyDescent="0.35">
      <c r="S1043" s="1"/>
    </row>
    <row r="1044" spans="19:19" x14ac:dyDescent="0.35">
      <c r="S1044" s="1"/>
    </row>
    <row r="1045" spans="19:19" x14ac:dyDescent="0.35">
      <c r="S1045" s="1"/>
    </row>
    <row r="1046" spans="19:19" x14ac:dyDescent="0.35">
      <c r="S1046" s="1"/>
    </row>
    <row r="1047" spans="19:19" x14ac:dyDescent="0.35">
      <c r="S1047" s="1"/>
    </row>
    <row r="1048" spans="19:19" x14ac:dyDescent="0.35">
      <c r="S1048" s="1"/>
    </row>
    <row r="1049" spans="19:19" x14ac:dyDescent="0.35">
      <c r="S1049" s="1"/>
    </row>
    <row r="1050" spans="19:19" x14ac:dyDescent="0.35">
      <c r="S1050" s="1"/>
    </row>
    <row r="1051" spans="19:19" x14ac:dyDescent="0.35">
      <c r="S1051" s="1"/>
    </row>
    <row r="1052" spans="19:19" x14ac:dyDescent="0.35">
      <c r="S1052" s="1"/>
    </row>
    <row r="1053" spans="19:19" x14ac:dyDescent="0.35">
      <c r="S1053" s="1"/>
    </row>
    <row r="1054" spans="19:19" x14ac:dyDescent="0.35">
      <c r="S1054" s="1"/>
    </row>
    <row r="1055" spans="19:19" x14ac:dyDescent="0.35">
      <c r="S1055" s="1"/>
    </row>
    <row r="1056" spans="19:19" x14ac:dyDescent="0.35">
      <c r="S1056" s="1"/>
    </row>
    <row r="1057" spans="19:19" x14ac:dyDescent="0.35">
      <c r="S1057" s="1"/>
    </row>
    <row r="1058" spans="19:19" x14ac:dyDescent="0.35">
      <c r="S1058" s="1"/>
    </row>
    <row r="1059" spans="19:19" x14ac:dyDescent="0.35">
      <c r="S1059" s="1"/>
    </row>
    <row r="1060" spans="19:19" x14ac:dyDescent="0.35">
      <c r="S1060" s="1"/>
    </row>
    <row r="1061" spans="19:19" x14ac:dyDescent="0.35">
      <c r="S1061" s="1"/>
    </row>
    <row r="1062" spans="19:19" x14ac:dyDescent="0.35">
      <c r="S1062" s="1"/>
    </row>
    <row r="1063" spans="19:19" x14ac:dyDescent="0.35">
      <c r="S1063" s="1"/>
    </row>
    <row r="1064" spans="19:19" x14ac:dyDescent="0.35">
      <c r="S1064" s="1"/>
    </row>
    <row r="1065" spans="19:19" x14ac:dyDescent="0.35">
      <c r="S1065" s="1"/>
    </row>
    <row r="1066" spans="19:19" x14ac:dyDescent="0.35">
      <c r="S1066" s="1"/>
    </row>
    <row r="1067" spans="19:19" x14ac:dyDescent="0.35">
      <c r="S1067" s="1"/>
    </row>
    <row r="1068" spans="19:19" x14ac:dyDescent="0.35">
      <c r="S1068" s="1"/>
    </row>
    <row r="1069" spans="19:19" x14ac:dyDescent="0.35">
      <c r="S1069" s="1"/>
    </row>
    <row r="1070" spans="19:19" x14ac:dyDescent="0.35">
      <c r="S1070" s="1"/>
    </row>
    <row r="1071" spans="19:19" x14ac:dyDescent="0.35">
      <c r="S1071" s="1"/>
    </row>
    <row r="1072" spans="19:19" x14ac:dyDescent="0.35">
      <c r="S1072" s="1"/>
    </row>
    <row r="1073" spans="19:19" x14ac:dyDescent="0.35">
      <c r="S1073" s="1"/>
    </row>
    <row r="1074" spans="19:19" x14ac:dyDescent="0.35">
      <c r="S1074" s="1"/>
    </row>
    <row r="1075" spans="19:19" x14ac:dyDescent="0.35">
      <c r="S1075" s="1"/>
    </row>
    <row r="1076" spans="19:19" x14ac:dyDescent="0.35">
      <c r="S1076" s="1"/>
    </row>
    <row r="1077" spans="19:19" x14ac:dyDescent="0.35">
      <c r="S1077" s="1"/>
    </row>
    <row r="1078" spans="19:19" x14ac:dyDescent="0.35">
      <c r="S1078" s="1"/>
    </row>
    <row r="1079" spans="19:19" x14ac:dyDescent="0.35">
      <c r="S1079" s="1"/>
    </row>
    <row r="1080" spans="19:19" x14ac:dyDescent="0.35">
      <c r="S1080" s="1"/>
    </row>
    <row r="1081" spans="19:19" x14ac:dyDescent="0.35">
      <c r="S1081" s="1"/>
    </row>
    <row r="1082" spans="19:19" x14ac:dyDescent="0.35">
      <c r="S1082" s="1"/>
    </row>
    <row r="1083" spans="19:19" x14ac:dyDescent="0.35">
      <c r="S1083" s="1"/>
    </row>
    <row r="1084" spans="19:19" x14ac:dyDescent="0.35">
      <c r="S1084" s="1"/>
    </row>
    <row r="1085" spans="19:19" x14ac:dyDescent="0.35">
      <c r="S1085" s="1"/>
    </row>
    <row r="1086" spans="19:19" x14ac:dyDescent="0.35">
      <c r="S1086" s="1"/>
    </row>
    <row r="1087" spans="19:19" x14ac:dyDescent="0.35">
      <c r="S1087" s="1"/>
    </row>
    <row r="1088" spans="19:19" x14ac:dyDescent="0.35">
      <c r="S1088" s="1"/>
    </row>
    <row r="1089" spans="19:19" x14ac:dyDescent="0.35">
      <c r="S1089" s="1"/>
    </row>
    <row r="1090" spans="19:19" x14ac:dyDescent="0.35">
      <c r="S1090" s="1"/>
    </row>
    <row r="1091" spans="19:19" x14ac:dyDescent="0.35">
      <c r="S1091" s="1"/>
    </row>
    <row r="1092" spans="19:19" x14ac:dyDescent="0.35">
      <c r="S1092" s="1"/>
    </row>
    <row r="1093" spans="19:19" x14ac:dyDescent="0.35">
      <c r="S1093" s="1"/>
    </row>
    <row r="1094" spans="19:19" x14ac:dyDescent="0.35">
      <c r="S1094" s="1"/>
    </row>
    <row r="1095" spans="19:19" x14ac:dyDescent="0.35">
      <c r="S1095" s="1"/>
    </row>
    <row r="1096" spans="19:19" x14ac:dyDescent="0.35">
      <c r="S1096" s="1"/>
    </row>
    <row r="1097" spans="19:19" x14ac:dyDescent="0.35">
      <c r="S1097" s="1"/>
    </row>
    <row r="1098" spans="19:19" x14ac:dyDescent="0.35">
      <c r="S1098" s="1"/>
    </row>
    <row r="1099" spans="19:19" x14ac:dyDescent="0.35">
      <c r="S1099" s="1"/>
    </row>
    <row r="1100" spans="19:19" x14ac:dyDescent="0.35">
      <c r="S1100" s="1"/>
    </row>
    <row r="1101" spans="19:19" x14ac:dyDescent="0.35">
      <c r="S1101" s="1"/>
    </row>
    <row r="1102" spans="19:19" x14ac:dyDescent="0.35">
      <c r="S1102" s="1"/>
    </row>
    <row r="1103" spans="19:19" x14ac:dyDescent="0.35">
      <c r="S1103" s="1"/>
    </row>
    <row r="1104" spans="19:19" x14ac:dyDescent="0.35">
      <c r="S1104" s="1"/>
    </row>
    <row r="1105" spans="19:19" x14ac:dyDescent="0.35">
      <c r="S1105" s="1"/>
    </row>
    <row r="1106" spans="19:19" x14ac:dyDescent="0.35">
      <c r="S1106" s="1"/>
    </row>
    <row r="1107" spans="19:19" x14ac:dyDescent="0.35">
      <c r="S1107" s="1"/>
    </row>
    <row r="1108" spans="19:19" x14ac:dyDescent="0.35">
      <c r="S1108" s="1"/>
    </row>
    <row r="1109" spans="19:19" x14ac:dyDescent="0.35">
      <c r="S1109" s="1"/>
    </row>
    <row r="1110" spans="19:19" x14ac:dyDescent="0.35">
      <c r="S1110" s="1"/>
    </row>
    <row r="1111" spans="19:19" x14ac:dyDescent="0.35">
      <c r="S1111" s="1"/>
    </row>
    <row r="1112" spans="19:19" x14ac:dyDescent="0.35">
      <c r="S1112" s="1"/>
    </row>
    <row r="1113" spans="19:19" x14ac:dyDescent="0.35">
      <c r="S1113" s="1"/>
    </row>
    <row r="1114" spans="19:19" x14ac:dyDescent="0.35">
      <c r="S1114" s="1"/>
    </row>
    <row r="1115" spans="19:19" x14ac:dyDescent="0.35">
      <c r="S1115" s="1"/>
    </row>
    <row r="1116" spans="19:19" x14ac:dyDescent="0.35">
      <c r="S1116" s="1"/>
    </row>
    <row r="1117" spans="19:19" x14ac:dyDescent="0.35">
      <c r="S1117" s="1"/>
    </row>
    <row r="1118" spans="19:19" x14ac:dyDescent="0.35">
      <c r="S1118" s="1"/>
    </row>
    <row r="1119" spans="19:19" x14ac:dyDescent="0.35">
      <c r="S1119" s="1"/>
    </row>
    <row r="1120" spans="19:19" x14ac:dyDescent="0.35">
      <c r="S1120" s="1"/>
    </row>
    <row r="1121" spans="19:19" x14ac:dyDescent="0.35">
      <c r="S1121" s="1"/>
    </row>
    <row r="1122" spans="19:19" x14ac:dyDescent="0.35">
      <c r="S11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E5A3-7690-43BD-9E9B-1AACED626AD9}">
  <dimension ref="A1:S1122"/>
  <sheetViews>
    <sheetView topLeftCell="A71" workbookViewId="0">
      <selection activeCell="S71" sqref="S1:AA1048576"/>
    </sheetView>
  </sheetViews>
  <sheetFormatPr defaultRowHeight="14.5" x14ac:dyDescent="0.35"/>
  <cols>
    <col min="1" max="1" width="10.08984375" bestFit="1" customWidth="1"/>
    <col min="18" max="18" width="9.26953125" customWidth="1"/>
    <col min="19" max="19" width="10.08984375" bestFit="1" customWidth="1"/>
    <col min="24" max="24" width="20.81640625" bestFit="1" customWidth="1"/>
    <col min="25" max="25" width="9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</v>
      </c>
      <c r="O1" t="s">
        <v>12</v>
      </c>
    </row>
    <row r="2" spans="1:19" x14ac:dyDescent="0.35">
      <c r="A2" s="1">
        <v>42277</v>
      </c>
      <c r="B2">
        <v>3.25</v>
      </c>
      <c r="C2">
        <v>3.51</v>
      </c>
      <c r="D2">
        <v>4.0199999999999996</v>
      </c>
      <c r="E2">
        <v>4.4400000000000004</v>
      </c>
      <c r="F2">
        <v>4.8600000000000003</v>
      </c>
      <c r="G2">
        <v>5.71</v>
      </c>
      <c r="H2">
        <v>6.13</v>
      </c>
      <c r="I2">
        <v>6.55</v>
      </c>
      <c r="J2">
        <v>7.39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</row>
    <row r="3" spans="1:19" x14ac:dyDescent="0.35">
      <c r="A3" s="1">
        <v>42308</v>
      </c>
      <c r="B3">
        <v>3.63</v>
      </c>
      <c r="C3">
        <v>3.51</v>
      </c>
      <c r="D3">
        <v>4.46</v>
      </c>
      <c r="E3">
        <v>4.7699999999999996</v>
      </c>
      <c r="F3">
        <v>5.08</v>
      </c>
      <c r="G3">
        <v>5.71</v>
      </c>
      <c r="H3">
        <v>5.78</v>
      </c>
      <c r="I3">
        <v>5.8</v>
      </c>
      <c r="J3">
        <v>5.63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S3" s="1"/>
    </row>
    <row r="4" spans="1:19" x14ac:dyDescent="0.35">
      <c r="A4" s="1">
        <v>42338</v>
      </c>
      <c r="B4">
        <v>3.84</v>
      </c>
      <c r="C4">
        <v>9.98</v>
      </c>
      <c r="D4">
        <v>4.2699999999999996</v>
      </c>
      <c r="E4">
        <v>4.5999999999999996</v>
      </c>
      <c r="F4">
        <v>4.92</v>
      </c>
      <c r="G4">
        <v>5.57</v>
      </c>
      <c r="H4">
        <v>5.89</v>
      </c>
      <c r="I4">
        <v>6.22</v>
      </c>
      <c r="J4">
        <v>6.87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S4" s="1"/>
    </row>
    <row r="5" spans="1:19" x14ac:dyDescent="0.35">
      <c r="A5" s="1">
        <v>42369</v>
      </c>
      <c r="B5">
        <v>3.96</v>
      </c>
      <c r="C5">
        <v>4.09</v>
      </c>
      <c r="D5">
        <v>4.34</v>
      </c>
      <c r="E5">
        <v>4.63</v>
      </c>
      <c r="F5">
        <v>4.92</v>
      </c>
      <c r="G5">
        <v>5.5</v>
      </c>
      <c r="H5">
        <v>5.79</v>
      </c>
      <c r="I5">
        <v>6.09</v>
      </c>
      <c r="J5">
        <v>6.68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S5" s="1"/>
    </row>
    <row r="6" spans="1:19" x14ac:dyDescent="0.35">
      <c r="A6" s="1">
        <v>42428</v>
      </c>
      <c r="B6">
        <v>3.24</v>
      </c>
      <c r="C6">
        <v>3.93</v>
      </c>
      <c r="D6">
        <v>4.8</v>
      </c>
      <c r="E6">
        <v>4.87</v>
      </c>
      <c r="F6">
        <v>4.93</v>
      </c>
      <c r="G6">
        <v>5.0599999999999996</v>
      </c>
      <c r="H6">
        <v>5.12</v>
      </c>
      <c r="I6">
        <v>5.25</v>
      </c>
      <c r="J6">
        <v>5.63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S6" s="1"/>
    </row>
    <row r="7" spans="1:19" x14ac:dyDescent="0.35">
      <c r="A7" s="1">
        <v>42521</v>
      </c>
      <c r="B7">
        <v>3.7</v>
      </c>
      <c r="C7">
        <v>4.33</v>
      </c>
      <c r="D7">
        <v>4.8600000000000003</v>
      </c>
      <c r="E7">
        <v>4.93</v>
      </c>
      <c r="F7">
        <v>5</v>
      </c>
      <c r="G7">
        <v>5.14</v>
      </c>
      <c r="H7">
        <v>5.21</v>
      </c>
      <c r="I7">
        <v>5.39</v>
      </c>
      <c r="J7">
        <v>5.85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S7" s="1"/>
    </row>
    <row r="8" spans="1:19" x14ac:dyDescent="0.35">
      <c r="A8" s="1">
        <v>42551</v>
      </c>
      <c r="B8">
        <v>3.94</v>
      </c>
      <c r="C8">
        <v>4.1399999999999997</v>
      </c>
      <c r="D8">
        <v>4.54</v>
      </c>
      <c r="E8">
        <v>4.7699999999999996</v>
      </c>
      <c r="F8">
        <v>5</v>
      </c>
      <c r="G8">
        <v>5.5</v>
      </c>
      <c r="H8">
        <v>5.75</v>
      </c>
      <c r="I8">
        <v>6</v>
      </c>
      <c r="J8">
        <v>6.5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S8" s="1"/>
    </row>
    <row r="9" spans="1:19" x14ac:dyDescent="0.35">
      <c r="A9" s="1">
        <v>42643</v>
      </c>
      <c r="B9">
        <v>4.25</v>
      </c>
      <c r="C9">
        <v>4.45</v>
      </c>
      <c r="D9">
        <v>4.99</v>
      </c>
      <c r="E9">
        <v>5.29</v>
      </c>
      <c r="F9">
        <v>5.59</v>
      </c>
      <c r="G9">
        <v>6.2</v>
      </c>
      <c r="H9">
        <v>6.5</v>
      </c>
      <c r="I9">
        <v>6.77</v>
      </c>
      <c r="J9">
        <v>7.33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S9" s="1"/>
    </row>
    <row r="10" spans="1:19" x14ac:dyDescent="0.35">
      <c r="A10" s="1">
        <v>42674</v>
      </c>
      <c r="B10">
        <v>4.17</v>
      </c>
      <c r="C10">
        <v>4.42</v>
      </c>
      <c r="D10">
        <v>5.23</v>
      </c>
      <c r="E10">
        <v>5.48</v>
      </c>
      <c r="F10">
        <v>5.74</v>
      </c>
      <c r="G10">
        <v>6.25</v>
      </c>
      <c r="H10">
        <v>6.5</v>
      </c>
      <c r="I10">
        <v>6.7</v>
      </c>
      <c r="J10">
        <v>7.12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S10" s="1"/>
    </row>
    <row r="11" spans="1:19" x14ac:dyDescent="0.35">
      <c r="A11" s="1">
        <v>42766</v>
      </c>
      <c r="B11">
        <v>3.97</v>
      </c>
      <c r="C11">
        <v>4.9800000000000004</v>
      </c>
      <c r="D11">
        <v>5.1100000000000003</v>
      </c>
      <c r="E11">
        <v>5.0599999999999996</v>
      </c>
      <c r="F11">
        <v>5.01</v>
      </c>
      <c r="G11">
        <v>4.91</v>
      </c>
      <c r="H11">
        <v>4.8499999999999996</v>
      </c>
      <c r="I11">
        <v>5.0999999999999996</v>
      </c>
      <c r="J11">
        <v>5.74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S11" s="1"/>
    </row>
    <row r="12" spans="1:19" x14ac:dyDescent="0.35">
      <c r="A12" s="1">
        <v>42794</v>
      </c>
      <c r="B12">
        <v>4.87</v>
      </c>
      <c r="C12">
        <v>5.35</v>
      </c>
      <c r="D12">
        <v>5.6</v>
      </c>
      <c r="E12">
        <v>5.82</v>
      </c>
      <c r="F12">
        <v>5.01</v>
      </c>
      <c r="G12">
        <v>6.5</v>
      </c>
      <c r="H12">
        <v>6.73</v>
      </c>
      <c r="I12">
        <v>7.76</v>
      </c>
      <c r="J12">
        <v>10.050000000000001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S12" s="1"/>
    </row>
    <row r="13" spans="1:19" x14ac:dyDescent="0.35">
      <c r="A13" s="1">
        <v>42825</v>
      </c>
      <c r="B13">
        <v>5.13</v>
      </c>
      <c r="C13">
        <v>5.31</v>
      </c>
      <c r="D13">
        <v>5.6</v>
      </c>
      <c r="E13">
        <v>5.82</v>
      </c>
      <c r="F13">
        <v>5.01</v>
      </c>
      <c r="G13">
        <v>6.5</v>
      </c>
      <c r="H13">
        <v>6.73</v>
      </c>
      <c r="I13">
        <v>7.66</v>
      </c>
      <c r="J13">
        <v>9.7100000000000009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S13" s="1"/>
    </row>
    <row r="14" spans="1:19" x14ac:dyDescent="0.35">
      <c r="A14" s="1">
        <v>42855</v>
      </c>
      <c r="B14">
        <v>5.66</v>
      </c>
      <c r="C14">
        <v>5.45</v>
      </c>
      <c r="D14">
        <v>5.6</v>
      </c>
      <c r="E14">
        <v>5.82</v>
      </c>
      <c r="F14">
        <v>5.01</v>
      </c>
      <c r="G14">
        <v>6.5</v>
      </c>
      <c r="H14">
        <v>6.73</v>
      </c>
      <c r="I14">
        <v>7.56</v>
      </c>
      <c r="J14">
        <v>9.36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S14" s="1"/>
    </row>
    <row r="15" spans="1:19" x14ac:dyDescent="0.35">
      <c r="A15" s="1">
        <v>42886</v>
      </c>
      <c r="B15">
        <v>5.33</v>
      </c>
      <c r="C15">
        <v>5.72</v>
      </c>
      <c r="D15">
        <v>6.06</v>
      </c>
      <c r="E15">
        <v>6.17</v>
      </c>
      <c r="F15">
        <v>6.28</v>
      </c>
      <c r="G15">
        <v>6.5</v>
      </c>
      <c r="H15">
        <v>6.61</v>
      </c>
      <c r="I15">
        <v>6.78</v>
      </c>
      <c r="J15">
        <v>7.18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S15" s="1"/>
    </row>
    <row r="16" spans="1:19" x14ac:dyDescent="0.35">
      <c r="A16" s="1">
        <v>42916</v>
      </c>
      <c r="B16">
        <v>5.3</v>
      </c>
      <c r="C16">
        <v>5.68</v>
      </c>
      <c r="D16">
        <v>6.06</v>
      </c>
      <c r="E16">
        <v>6.17</v>
      </c>
      <c r="F16">
        <v>6.28</v>
      </c>
      <c r="G16">
        <v>6.5</v>
      </c>
      <c r="H16">
        <v>6.61</v>
      </c>
      <c r="I16">
        <v>6.78</v>
      </c>
      <c r="J16">
        <v>7.18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S16" s="1"/>
    </row>
    <row r="17" spans="1:19" x14ac:dyDescent="0.35">
      <c r="A17" s="1">
        <v>42947</v>
      </c>
      <c r="B17">
        <v>5.3</v>
      </c>
      <c r="C17">
        <v>6.05</v>
      </c>
      <c r="D17">
        <v>6.06</v>
      </c>
      <c r="E17">
        <v>6.17</v>
      </c>
      <c r="F17">
        <v>6.28</v>
      </c>
      <c r="G17">
        <v>6.5</v>
      </c>
      <c r="H17">
        <v>6.61</v>
      </c>
      <c r="I17">
        <v>6.96</v>
      </c>
      <c r="J17">
        <v>7.75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S17" s="1"/>
    </row>
    <row r="18" spans="1:19" x14ac:dyDescent="0.35">
      <c r="A18" s="1">
        <v>42978</v>
      </c>
      <c r="B18">
        <v>5.42</v>
      </c>
      <c r="C18">
        <v>5.78</v>
      </c>
      <c r="D18">
        <v>6.06</v>
      </c>
      <c r="E18">
        <v>6.17</v>
      </c>
      <c r="F18">
        <v>6.28</v>
      </c>
      <c r="G18">
        <v>6.5</v>
      </c>
      <c r="H18">
        <v>6.61</v>
      </c>
      <c r="I18">
        <v>6.78</v>
      </c>
      <c r="J18">
        <v>7.18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S18" s="1"/>
    </row>
    <row r="19" spans="1:19" x14ac:dyDescent="0.35">
      <c r="A19" s="1">
        <v>43039</v>
      </c>
      <c r="B19">
        <v>4.95</v>
      </c>
      <c r="C19">
        <v>5.18</v>
      </c>
      <c r="D19">
        <v>5.0599999999999996</v>
      </c>
      <c r="E19">
        <v>4.95</v>
      </c>
      <c r="F19">
        <v>4.83</v>
      </c>
      <c r="G19">
        <v>6.5</v>
      </c>
      <c r="H19">
        <v>7.34</v>
      </c>
      <c r="I19">
        <v>8.7799999999999994</v>
      </c>
      <c r="J19">
        <v>12.13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S19" s="1"/>
    </row>
    <row r="20" spans="1:19" x14ac:dyDescent="0.35">
      <c r="A20" s="1">
        <v>43100</v>
      </c>
      <c r="B20">
        <v>5.17</v>
      </c>
      <c r="C20">
        <v>5.44</v>
      </c>
      <c r="D20">
        <v>5.24</v>
      </c>
      <c r="E20">
        <v>5.03</v>
      </c>
      <c r="F20">
        <v>4.83</v>
      </c>
      <c r="G20">
        <v>6.5</v>
      </c>
      <c r="H20">
        <v>7.34</v>
      </c>
      <c r="I20">
        <v>8.85</v>
      </c>
      <c r="J20">
        <v>12.39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S20" s="1"/>
    </row>
    <row r="21" spans="1:19" x14ac:dyDescent="0.35">
      <c r="A21" s="1">
        <v>43131</v>
      </c>
      <c r="B21">
        <v>5.05</v>
      </c>
      <c r="C21">
        <v>5.26</v>
      </c>
      <c r="D21">
        <v>5.1100000000000003</v>
      </c>
      <c r="E21">
        <v>4.97</v>
      </c>
      <c r="F21">
        <v>4.83</v>
      </c>
      <c r="G21">
        <v>6.5</v>
      </c>
      <c r="H21">
        <v>7.34</v>
      </c>
      <c r="I21">
        <v>8.7899999999999991</v>
      </c>
      <c r="J21">
        <v>12.17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S21" s="1"/>
    </row>
    <row r="22" spans="1:19" x14ac:dyDescent="0.35">
      <c r="A22" s="1">
        <v>43159</v>
      </c>
      <c r="B22">
        <v>4.8899999999999997</v>
      </c>
      <c r="C22">
        <v>5.14</v>
      </c>
      <c r="D22">
        <v>5.03</v>
      </c>
      <c r="E22">
        <v>4.93</v>
      </c>
      <c r="F22">
        <v>4.83</v>
      </c>
      <c r="G22">
        <v>6.5</v>
      </c>
      <c r="H22">
        <v>7.34</v>
      </c>
      <c r="I22">
        <v>8.7799999999999994</v>
      </c>
      <c r="J22">
        <v>12.11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S22" s="1"/>
    </row>
    <row r="23" spans="1:19" x14ac:dyDescent="0.35">
      <c r="A23" s="1">
        <v>43190</v>
      </c>
      <c r="B23">
        <v>4.46</v>
      </c>
      <c r="C23">
        <v>4.63</v>
      </c>
      <c r="D23">
        <v>4.6100000000000003</v>
      </c>
      <c r="E23">
        <v>6.19</v>
      </c>
      <c r="F23">
        <v>6.97</v>
      </c>
      <c r="G23">
        <v>8.5299999999999994</v>
      </c>
      <c r="H23">
        <v>9.31</v>
      </c>
      <c r="I23">
        <v>9.81</v>
      </c>
      <c r="J23">
        <v>10.57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S23" s="1"/>
    </row>
    <row r="24" spans="1:19" x14ac:dyDescent="0.35">
      <c r="A24" s="1">
        <v>43220</v>
      </c>
      <c r="B24">
        <v>4.34</v>
      </c>
      <c r="C24">
        <v>4.55</v>
      </c>
      <c r="D24">
        <v>4.6100000000000003</v>
      </c>
      <c r="E24">
        <v>5.98</v>
      </c>
      <c r="F24">
        <v>6.69</v>
      </c>
      <c r="G24">
        <v>8.1199999999999992</v>
      </c>
      <c r="H24">
        <v>8.83</v>
      </c>
      <c r="I24">
        <v>9.32</v>
      </c>
      <c r="J24">
        <v>10.119999999999999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S24" s="1"/>
    </row>
    <row r="25" spans="1:19" x14ac:dyDescent="0.35">
      <c r="A25" s="1">
        <v>43251</v>
      </c>
      <c r="B25">
        <v>4.1100000000000003</v>
      </c>
      <c r="C25">
        <v>4.55</v>
      </c>
      <c r="D25">
        <v>4.6100000000000003</v>
      </c>
      <c r="E25">
        <v>4.8600000000000003</v>
      </c>
      <c r="F25">
        <v>5.01</v>
      </c>
      <c r="G25">
        <v>5.32</v>
      </c>
      <c r="H25">
        <v>5.47</v>
      </c>
      <c r="I25">
        <v>5.71</v>
      </c>
      <c r="J25">
        <v>6.23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S25" s="1"/>
    </row>
    <row r="26" spans="1:19" x14ac:dyDescent="0.35">
      <c r="A26" s="1">
        <v>43281</v>
      </c>
      <c r="B26">
        <v>3.96</v>
      </c>
      <c r="C26">
        <v>3.92</v>
      </c>
      <c r="D26">
        <v>4.6100000000000003</v>
      </c>
      <c r="E26">
        <v>4.6500000000000004</v>
      </c>
      <c r="F26">
        <v>5.01</v>
      </c>
      <c r="G26">
        <v>5.73</v>
      </c>
      <c r="H26">
        <v>6.1</v>
      </c>
      <c r="I26">
        <v>6.48</v>
      </c>
      <c r="J26">
        <v>7.28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S26" s="1"/>
    </row>
    <row r="27" spans="1:19" x14ac:dyDescent="0.35">
      <c r="A27" s="1">
        <v>43312</v>
      </c>
      <c r="B27">
        <v>3.46</v>
      </c>
      <c r="C27">
        <v>3.65</v>
      </c>
      <c r="D27">
        <v>4.1100000000000003</v>
      </c>
      <c r="E27">
        <v>4.5599999999999996</v>
      </c>
      <c r="F27">
        <v>5.01</v>
      </c>
      <c r="G27">
        <v>10.52</v>
      </c>
      <c r="H27">
        <v>13.28</v>
      </c>
      <c r="I27">
        <v>17.28</v>
      </c>
      <c r="J27">
        <v>26.27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S27" s="1"/>
    </row>
    <row r="28" spans="1:19" x14ac:dyDescent="0.35">
      <c r="A28" s="1">
        <v>43343</v>
      </c>
      <c r="B28">
        <v>3.34</v>
      </c>
      <c r="C28">
        <v>3.38</v>
      </c>
      <c r="D28">
        <v>3.92</v>
      </c>
      <c r="E28">
        <v>4.47</v>
      </c>
      <c r="F28">
        <v>5.01</v>
      </c>
      <c r="G28">
        <v>17.09</v>
      </c>
      <c r="H28">
        <v>14.57</v>
      </c>
      <c r="I28">
        <v>12.05</v>
      </c>
      <c r="J28">
        <v>7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S28" s="1"/>
    </row>
    <row r="29" spans="1:19" x14ac:dyDescent="0.35">
      <c r="A29" s="1">
        <v>43373</v>
      </c>
      <c r="B29">
        <v>3.43</v>
      </c>
      <c r="C29">
        <v>3.75</v>
      </c>
      <c r="D29">
        <v>5.58</v>
      </c>
      <c r="E29">
        <v>6.79</v>
      </c>
      <c r="F29">
        <v>5.01</v>
      </c>
      <c r="G29">
        <v>17.09</v>
      </c>
      <c r="H29">
        <v>14.57</v>
      </c>
      <c r="I29">
        <v>12.05</v>
      </c>
      <c r="J29">
        <v>7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S29" s="1"/>
    </row>
    <row r="30" spans="1:19" x14ac:dyDescent="0.35">
      <c r="A30" s="1">
        <v>43404</v>
      </c>
      <c r="B30">
        <v>2.56</v>
      </c>
      <c r="C30">
        <v>4.82</v>
      </c>
      <c r="D30">
        <v>7.69</v>
      </c>
      <c r="E30">
        <v>9.18</v>
      </c>
      <c r="F30">
        <v>9.8800000000000008</v>
      </c>
      <c r="G30">
        <v>10.18</v>
      </c>
      <c r="H30">
        <v>10.1</v>
      </c>
      <c r="I30">
        <v>9.9700000000000006</v>
      </c>
      <c r="J30">
        <v>9.67</v>
      </c>
      <c r="K30">
        <v>9.4</v>
      </c>
      <c r="L30">
        <v>9.18</v>
      </c>
      <c r="M30">
        <v>9</v>
      </c>
      <c r="N30">
        <v>8.86</v>
      </c>
      <c r="O30">
        <v>8.74</v>
      </c>
      <c r="S30" s="1"/>
    </row>
    <row r="31" spans="1:19" x14ac:dyDescent="0.35">
      <c r="A31" s="1">
        <v>43434</v>
      </c>
      <c r="B31">
        <v>2.74</v>
      </c>
      <c r="C31">
        <v>4.7699999999999996</v>
      </c>
      <c r="D31">
        <v>7.4</v>
      </c>
      <c r="E31">
        <v>8.82</v>
      </c>
      <c r="F31">
        <v>9.5399999999999991</v>
      </c>
      <c r="G31">
        <v>10</v>
      </c>
      <c r="H31">
        <v>10</v>
      </c>
      <c r="I31">
        <v>9.9499999999999993</v>
      </c>
      <c r="J31">
        <v>9.7899999999999991</v>
      </c>
      <c r="K31">
        <v>9.6300000000000008</v>
      </c>
      <c r="L31">
        <v>9.48</v>
      </c>
      <c r="M31">
        <v>9.3699999999999992</v>
      </c>
      <c r="N31">
        <v>9.2799999999999994</v>
      </c>
      <c r="O31">
        <v>9.1999999999999993</v>
      </c>
      <c r="S31" s="1"/>
    </row>
    <row r="32" spans="1:19" x14ac:dyDescent="0.35">
      <c r="A32" s="1">
        <v>43465</v>
      </c>
      <c r="B32">
        <v>2.98</v>
      </c>
      <c r="C32">
        <v>5.3360000000000003</v>
      </c>
      <c r="D32">
        <v>8.25</v>
      </c>
      <c r="E32">
        <v>9.69</v>
      </c>
      <c r="F32">
        <v>10.3</v>
      </c>
      <c r="G32">
        <v>10.4</v>
      </c>
      <c r="H32">
        <v>10.220000000000001</v>
      </c>
      <c r="I32">
        <v>10.01</v>
      </c>
      <c r="J32">
        <v>9.57</v>
      </c>
      <c r="K32">
        <v>9.19</v>
      </c>
      <c r="L32">
        <v>8.89</v>
      </c>
      <c r="M32">
        <v>8.65</v>
      </c>
      <c r="N32">
        <v>8.4600000000000009</v>
      </c>
      <c r="O32">
        <v>8.31</v>
      </c>
      <c r="S32" s="1"/>
    </row>
    <row r="33" spans="1:19" x14ac:dyDescent="0.35">
      <c r="A33" s="1">
        <v>43496</v>
      </c>
      <c r="B33">
        <v>3.06</v>
      </c>
      <c r="C33">
        <v>4.8899999999999997</v>
      </c>
      <c r="D33">
        <v>7.32</v>
      </c>
      <c r="E33">
        <v>8.69</v>
      </c>
      <c r="F33">
        <v>9.44</v>
      </c>
      <c r="G33">
        <v>10.029999999999999</v>
      </c>
      <c r="H33">
        <v>10.119999999999999</v>
      </c>
      <c r="I33">
        <v>10.14</v>
      </c>
      <c r="J33">
        <v>10.1</v>
      </c>
      <c r="K33">
        <v>10.029999999999999</v>
      </c>
      <c r="L33">
        <v>9.9600000000000009</v>
      </c>
      <c r="M33">
        <v>9.91</v>
      </c>
      <c r="N33">
        <v>9.86</v>
      </c>
      <c r="O33">
        <v>9.82</v>
      </c>
      <c r="S33" s="1"/>
    </row>
    <row r="34" spans="1:19" x14ac:dyDescent="0.35">
      <c r="A34" s="1">
        <v>43524</v>
      </c>
      <c r="B34">
        <v>2.84</v>
      </c>
      <c r="C34">
        <v>4.74</v>
      </c>
      <c r="D34">
        <v>7.14</v>
      </c>
      <c r="E34">
        <v>8.36</v>
      </c>
      <c r="F34">
        <v>8.92</v>
      </c>
      <c r="G34">
        <v>9.1300000000000008</v>
      </c>
      <c r="H34">
        <v>9.0399999999999991</v>
      </c>
      <c r="I34">
        <v>8.91</v>
      </c>
      <c r="J34">
        <v>8.6300000000000008</v>
      </c>
      <c r="K34">
        <v>8.3800000000000008</v>
      </c>
      <c r="L34">
        <v>8.18</v>
      </c>
      <c r="M34">
        <v>8.02</v>
      </c>
      <c r="N34">
        <v>7.89</v>
      </c>
      <c r="O34">
        <v>7.79</v>
      </c>
      <c r="S34" s="1"/>
    </row>
    <row r="35" spans="1:19" x14ac:dyDescent="0.35">
      <c r="A35" s="1">
        <v>43555</v>
      </c>
      <c r="B35">
        <v>3.82</v>
      </c>
      <c r="C35">
        <v>4.12</v>
      </c>
      <c r="D35">
        <v>4.6900000000000004</v>
      </c>
      <c r="E35">
        <v>5.2</v>
      </c>
      <c r="F35">
        <v>5.63</v>
      </c>
      <c r="G35">
        <v>6.3</v>
      </c>
      <c r="H35">
        <v>6.55</v>
      </c>
      <c r="I35">
        <v>6.76</v>
      </c>
      <c r="J35">
        <v>7.09</v>
      </c>
      <c r="K35">
        <v>7.32</v>
      </c>
      <c r="L35">
        <v>7.49</v>
      </c>
      <c r="M35">
        <v>7.63</v>
      </c>
      <c r="N35">
        <v>7.73</v>
      </c>
      <c r="O35">
        <v>7.81</v>
      </c>
      <c r="S35" s="1"/>
    </row>
    <row r="36" spans="1:19" x14ac:dyDescent="0.35">
      <c r="A36" s="1">
        <v>43585</v>
      </c>
      <c r="B36">
        <v>3.25</v>
      </c>
      <c r="C36">
        <v>4.09</v>
      </c>
      <c r="D36">
        <v>5.23</v>
      </c>
      <c r="E36">
        <v>5.92</v>
      </c>
      <c r="F36">
        <v>6.33</v>
      </c>
      <c r="G36">
        <v>6.72</v>
      </c>
      <c r="H36">
        <v>6.81</v>
      </c>
      <c r="I36">
        <v>6.87</v>
      </c>
      <c r="J36">
        <v>6.92</v>
      </c>
      <c r="K36">
        <v>6.94</v>
      </c>
      <c r="L36">
        <v>6.95</v>
      </c>
      <c r="M36">
        <v>6.95</v>
      </c>
      <c r="N36">
        <v>6.96</v>
      </c>
      <c r="O36">
        <v>6.96</v>
      </c>
      <c r="S36" s="1"/>
    </row>
    <row r="37" spans="1:19" x14ac:dyDescent="0.35">
      <c r="A37" s="1">
        <v>43616</v>
      </c>
      <c r="B37">
        <v>3.43</v>
      </c>
      <c r="C37">
        <v>3.44</v>
      </c>
      <c r="D37">
        <v>4.3099999999999996</v>
      </c>
      <c r="E37">
        <v>5.74</v>
      </c>
      <c r="F37">
        <v>7.32</v>
      </c>
      <c r="G37">
        <v>10.23</v>
      </c>
      <c r="H37">
        <v>11.46</v>
      </c>
      <c r="I37">
        <v>12.52</v>
      </c>
      <c r="J37">
        <v>14.22</v>
      </c>
      <c r="K37">
        <v>15.48</v>
      </c>
      <c r="L37">
        <v>16.420000000000002</v>
      </c>
      <c r="M37">
        <v>17.149999999999999</v>
      </c>
      <c r="N37">
        <v>17.72</v>
      </c>
      <c r="O37">
        <v>18.170000000000002</v>
      </c>
      <c r="S37" s="1"/>
    </row>
    <row r="38" spans="1:19" x14ac:dyDescent="0.35">
      <c r="A38" s="1">
        <v>43646</v>
      </c>
      <c r="B38">
        <v>3.49</v>
      </c>
      <c r="C38">
        <v>3.47</v>
      </c>
      <c r="D38">
        <v>4.32</v>
      </c>
      <c r="E38">
        <v>5.75</v>
      </c>
      <c r="F38">
        <v>7.32</v>
      </c>
      <c r="G38">
        <v>10.24</v>
      </c>
      <c r="H38">
        <v>11.47</v>
      </c>
      <c r="I38">
        <v>12.54</v>
      </c>
      <c r="J38">
        <v>14.24</v>
      </c>
      <c r="K38">
        <v>15.5</v>
      </c>
      <c r="L38">
        <v>16.45</v>
      </c>
      <c r="M38">
        <v>17.18</v>
      </c>
      <c r="N38">
        <v>17.75</v>
      </c>
      <c r="O38">
        <v>18.21</v>
      </c>
      <c r="S38" s="1"/>
    </row>
    <row r="39" spans="1:19" x14ac:dyDescent="0.35">
      <c r="A39" s="1">
        <v>43677</v>
      </c>
      <c r="B39">
        <v>3.5</v>
      </c>
      <c r="C39">
        <v>3.98</v>
      </c>
      <c r="D39">
        <v>4.79</v>
      </c>
      <c r="E39">
        <v>5.43</v>
      </c>
      <c r="F39">
        <v>5.93</v>
      </c>
      <c r="G39">
        <v>6.66</v>
      </c>
      <c r="H39">
        <v>6.92</v>
      </c>
      <c r="I39">
        <v>7.13</v>
      </c>
      <c r="J39">
        <v>7.45</v>
      </c>
      <c r="K39">
        <v>7.67</v>
      </c>
      <c r="L39">
        <v>7.84</v>
      </c>
      <c r="M39">
        <v>7.96</v>
      </c>
      <c r="N39">
        <v>8.06</v>
      </c>
      <c r="O39">
        <v>8.14</v>
      </c>
      <c r="S39" s="1"/>
    </row>
    <row r="40" spans="1:19" x14ac:dyDescent="0.35">
      <c r="A40" s="1">
        <v>43708</v>
      </c>
      <c r="B40">
        <v>3.51</v>
      </c>
      <c r="C40">
        <v>3.98</v>
      </c>
      <c r="D40">
        <v>4.78</v>
      </c>
      <c r="E40">
        <v>5.42</v>
      </c>
      <c r="F40">
        <v>5.93</v>
      </c>
      <c r="G40">
        <v>6.66</v>
      </c>
      <c r="H40">
        <v>6.93</v>
      </c>
      <c r="I40">
        <v>7.15</v>
      </c>
      <c r="J40">
        <v>7.48</v>
      </c>
      <c r="K40">
        <v>7.71</v>
      </c>
      <c r="L40">
        <v>7.88</v>
      </c>
      <c r="M40">
        <v>8.01</v>
      </c>
      <c r="N40">
        <v>8.11</v>
      </c>
      <c r="O40">
        <v>8.1999999999999993</v>
      </c>
      <c r="S40" s="1"/>
    </row>
    <row r="41" spans="1:19" x14ac:dyDescent="0.35">
      <c r="A41" s="1">
        <v>43738</v>
      </c>
      <c r="B41">
        <v>5.03</v>
      </c>
      <c r="C41">
        <v>4.7699999999999996</v>
      </c>
      <c r="D41">
        <v>4.7</v>
      </c>
      <c r="E41">
        <v>4.97</v>
      </c>
      <c r="F41">
        <v>5.38</v>
      </c>
      <c r="G41">
        <v>6.26</v>
      </c>
      <c r="H41">
        <v>6.65</v>
      </c>
      <c r="I41">
        <v>7</v>
      </c>
      <c r="J41">
        <v>7.57</v>
      </c>
      <c r="K41">
        <v>7.99</v>
      </c>
      <c r="L41">
        <v>8.32</v>
      </c>
      <c r="M41">
        <v>8.57</v>
      </c>
      <c r="N41">
        <v>8.76</v>
      </c>
      <c r="O41">
        <v>8.92</v>
      </c>
      <c r="S41" s="1"/>
    </row>
    <row r="42" spans="1:19" x14ac:dyDescent="0.35">
      <c r="A42" s="1">
        <v>43769</v>
      </c>
      <c r="B42">
        <v>3.79</v>
      </c>
      <c r="C42">
        <v>4.26</v>
      </c>
      <c r="D42">
        <v>5.3</v>
      </c>
      <c r="E42">
        <v>6.33</v>
      </c>
      <c r="F42">
        <v>7.27</v>
      </c>
      <c r="G42">
        <v>8.81</v>
      </c>
      <c r="H42">
        <v>9.41</v>
      </c>
      <c r="I42">
        <v>9.92</v>
      </c>
      <c r="J42">
        <v>10.71</v>
      </c>
      <c r="K42">
        <v>11.29</v>
      </c>
      <c r="L42">
        <v>11.72</v>
      </c>
      <c r="M42">
        <v>12.05</v>
      </c>
      <c r="N42">
        <v>12.31</v>
      </c>
      <c r="O42">
        <v>12.52</v>
      </c>
      <c r="S42" s="1"/>
    </row>
    <row r="43" spans="1:19" x14ac:dyDescent="0.35">
      <c r="A43" s="1">
        <v>43799</v>
      </c>
      <c r="B43">
        <v>4.5599999999999996</v>
      </c>
      <c r="C43">
        <v>4.42</v>
      </c>
      <c r="D43">
        <v>4.76</v>
      </c>
      <c r="E43">
        <v>5.54</v>
      </c>
      <c r="F43">
        <v>6.45</v>
      </c>
      <c r="G43">
        <v>8.2100000000000009</v>
      </c>
      <c r="H43">
        <v>8.9600000000000009</v>
      </c>
      <c r="I43">
        <v>9.6199999999999992</v>
      </c>
      <c r="J43">
        <v>10.68</v>
      </c>
      <c r="K43">
        <v>11.46</v>
      </c>
      <c r="L43">
        <v>12.05</v>
      </c>
      <c r="M43">
        <v>12.5</v>
      </c>
      <c r="N43">
        <v>12.86</v>
      </c>
      <c r="O43">
        <v>13.15</v>
      </c>
      <c r="S43" s="1"/>
    </row>
    <row r="44" spans="1:19" x14ac:dyDescent="0.35">
      <c r="A44" s="1">
        <v>43830</v>
      </c>
      <c r="B44">
        <v>3.82</v>
      </c>
      <c r="C44">
        <v>4.95</v>
      </c>
      <c r="D44">
        <v>6.73</v>
      </c>
      <c r="E44">
        <v>8.0399999999999991</v>
      </c>
      <c r="F44">
        <v>9.0299999999999994</v>
      </c>
      <c r="G44">
        <v>10.36</v>
      </c>
      <c r="H44">
        <v>10.82</v>
      </c>
      <c r="I44">
        <v>11.19</v>
      </c>
      <c r="J44">
        <v>11.73</v>
      </c>
      <c r="K44">
        <v>12.1</v>
      </c>
      <c r="L44">
        <v>12.37</v>
      </c>
      <c r="M44">
        <v>12.57</v>
      </c>
      <c r="N44">
        <v>12.73</v>
      </c>
      <c r="O44">
        <v>12.86</v>
      </c>
      <c r="S44" s="1"/>
    </row>
    <row r="45" spans="1:19" x14ac:dyDescent="0.35">
      <c r="A45" s="1">
        <v>43861</v>
      </c>
      <c r="B45">
        <v>3.72</v>
      </c>
      <c r="C45">
        <v>4.83</v>
      </c>
      <c r="D45">
        <v>6.56</v>
      </c>
      <c r="E45">
        <v>7.81</v>
      </c>
      <c r="F45">
        <v>8.74</v>
      </c>
      <c r="G45">
        <v>9.9600000000000009</v>
      </c>
      <c r="H45">
        <v>10.38</v>
      </c>
      <c r="I45">
        <v>10.71</v>
      </c>
      <c r="J45">
        <v>11.19</v>
      </c>
      <c r="K45">
        <v>11.52</v>
      </c>
      <c r="L45">
        <v>11.76</v>
      </c>
      <c r="M45">
        <v>11.94</v>
      </c>
      <c r="N45">
        <v>12.08</v>
      </c>
      <c r="O45">
        <v>12.19</v>
      </c>
      <c r="S45" s="1"/>
    </row>
    <row r="46" spans="1:19" x14ac:dyDescent="0.35">
      <c r="A46" s="1">
        <v>43889</v>
      </c>
      <c r="B46">
        <v>4.47</v>
      </c>
      <c r="C46">
        <v>3.81</v>
      </c>
      <c r="D46">
        <v>3.5</v>
      </c>
      <c r="E46">
        <v>3.91</v>
      </c>
      <c r="F46">
        <v>4.6500000000000004</v>
      </c>
      <c r="G46">
        <v>6.29</v>
      </c>
      <c r="H46">
        <v>7.04</v>
      </c>
      <c r="I46">
        <v>7.71</v>
      </c>
      <c r="J46">
        <v>8.8000000000000007</v>
      </c>
      <c r="K46">
        <v>9.6300000000000008</v>
      </c>
      <c r="L46">
        <v>10.25</v>
      </c>
      <c r="M46">
        <v>10.74</v>
      </c>
      <c r="N46">
        <v>11.12</v>
      </c>
      <c r="O46">
        <v>11.42</v>
      </c>
      <c r="S46" s="1"/>
    </row>
    <row r="47" spans="1:19" x14ac:dyDescent="0.35">
      <c r="A47" s="1">
        <v>43951</v>
      </c>
      <c r="B47">
        <v>4.09</v>
      </c>
      <c r="C47">
        <v>5.04</v>
      </c>
      <c r="D47">
        <v>6.36</v>
      </c>
      <c r="E47">
        <v>7.15</v>
      </c>
      <c r="F47">
        <v>7.64</v>
      </c>
      <c r="G47">
        <v>8.11</v>
      </c>
      <c r="H47">
        <v>8.23</v>
      </c>
      <c r="I47">
        <v>8.3000000000000007</v>
      </c>
      <c r="J47">
        <v>8.3699999999999992</v>
      </c>
      <c r="K47">
        <v>8.41</v>
      </c>
      <c r="L47">
        <v>8.43</v>
      </c>
      <c r="M47">
        <v>8.44</v>
      </c>
      <c r="N47">
        <v>8.4499999999999993</v>
      </c>
      <c r="O47">
        <v>8.4499999999999993</v>
      </c>
      <c r="S47" s="1"/>
    </row>
    <row r="48" spans="1:19" x14ac:dyDescent="0.35">
      <c r="A48" s="1">
        <v>43982</v>
      </c>
      <c r="B48">
        <v>4.42</v>
      </c>
      <c r="C48">
        <v>5.12</v>
      </c>
      <c r="D48">
        <v>6.19</v>
      </c>
      <c r="E48">
        <v>6.92</v>
      </c>
      <c r="F48">
        <v>7.45</v>
      </c>
      <c r="G48">
        <v>8.11</v>
      </c>
      <c r="H48">
        <v>8.33</v>
      </c>
      <c r="I48">
        <v>8.49</v>
      </c>
      <c r="J48">
        <v>8.73</v>
      </c>
      <c r="K48">
        <v>8.89</v>
      </c>
      <c r="L48">
        <v>9</v>
      </c>
      <c r="M48">
        <v>9.09</v>
      </c>
      <c r="N48">
        <v>9.16</v>
      </c>
      <c r="O48">
        <v>9.2100000000000009</v>
      </c>
      <c r="S48" s="1"/>
    </row>
    <row r="49" spans="1:19" x14ac:dyDescent="0.35">
      <c r="A49" s="1">
        <v>44012</v>
      </c>
      <c r="B49">
        <v>3.66</v>
      </c>
      <c r="C49">
        <v>4.58</v>
      </c>
      <c r="D49">
        <v>5.86</v>
      </c>
      <c r="E49">
        <v>6.64</v>
      </c>
      <c r="F49">
        <v>7.12</v>
      </c>
      <c r="G49">
        <v>7.61</v>
      </c>
      <c r="H49">
        <v>7.73</v>
      </c>
      <c r="I49">
        <v>7.81</v>
      </c>
      <c r="J49">
        <v>7.9</v>
      </c>
      <c r="K49">
        <v>7.95</v>
      </c>
      <c r="L49">
        <v>7.97</v>
      </c>
      <c r="M49">
        <v>7.99</v>
      </c>
      <c r="N49">
        <v>8.01</v>
      </c>
      <c r="O49">
        <v>8.02</v>
      </c>
      <c r="S49" s="1"/>
    </row>
    <row r="50" spans="1:19" x14ac:dyDescent="0.35">
      <c r="A50" s="1">
        <v>44043</v>
      </c>
      <c r="B50">
        <v>3.13</v>
      </c>
      <c r="C50">
        <v>4.37</v>
      </c>
      <c r="D50">
        <v>6.14</v>
      </c>
      <c r="E50">
        <v>7.26</v>
      </c>
      <c r="F50">
        <v>7.97</v>
      </c>
      <c r="G50">
        <v>8.75</v>
      </c>
      <c r="H50">
        <v>8.9700000000000006</v>
      </c>
      <c r="I50">
        <v>9.1199999999999992</v>
      </c>
      <c r="J50">
        <v>9.31</v>
      </c>
      <c r="K50">
        <v>9.42</v>
      </c>
      <c r="L50">
        <v>9.5</v>
      </c>
      <c r="M50">
        <v>9.5500000000000007</v>
      </c>
      <c r="N50">
        <v>9.59</v>
      </c>
      <c r="O50">
        <v>9.6300000000000008</v>
      </c>
      <c r="S50" s="1"/>
    </row>
    <row r="51" spans="1:19" x14ac:dyDescent="0.35">
      <c r="A51" s="1">
        <v>44104</v>
      </c>
      <c r="B51">
        <v>3.27</v>
      </c>
      <c r="C51">
        <v>4.4000000000000004</v>
      </c>
      <c r="D51">
        <v>5.98</v>
      </c>
      <c r="E51">
        <v>6.97</v>
      </c>
      <c r="F51">
        <v>7.58</v>
      </c>
      <c r="G51">
        <v>8.23</v>
      </c>
      <c r="H51">
        <v>8.4</v>
      </c>
      <c r="I51">
        <v>8.51</v>
      </c>
      <c r="J51">
        <v>8.65</v>
      </c>
      <c r="K51">
        <v>8.73</v>
      </c>
      <c r="L51">
        <v>8.7799999999999994</v>
      </c>
      <c r="M51">
        <v>8.81</v>
      </c>
      <c r="N51">
        <v>8.84</v>
      </c>
      <c r="O51">
        <v>8.86</v>
      </c>
      <c r="S51" s="1"/>
    </row>
    <row r="52" spans="1:19" x14ac:dyDescent="0.35">
      <c r="A52" s="1">
        <v>44196</v>
      </c>
      <c r="B52">
        <v>5.31</v>
      </c>
      <c r="C52">
        <v>6.35</v>
      </c>
      <c r="D52">
        <v>7.8</v>
      </c>
      <c r="E52">
        <v>8.69</v>
      </c>
      <c r="F52">
        <v>9.23</v>
      </c>
      <c r="G52">
        <v>9.7799999999999994</v>
      </c>
      <c r="H52">
        <v>9.91</v>
      </c>
      <c r="I52">
        <v>10</v>
      </c>
      <c r="J52">
        <v>10.1</v>
      </c>
      <c r="K52">
        <v>10.15</v>
      </c>
      <c r="L52">
        <v>10.18</v>
      </c>
      <c r="M52">
        <v>10.199999999999999</v>
      </c>
      <c r="N52">
        <v>10.210000000000001</v>
      </c>
      <c r="O52">
        <v>10.23</v>
      </c>
      <c r="S52" s="1"/>
    </row>
    <row r="53" spans="1:19" x14ac:dyDescent="0.35">
      <c r="A53" s="1">
        <v>44227</v>
      </c>
      <c r="B53">
        <v>3.04</v>
      </c>
      <c r="C53">
        <v>4.34</v>
      </c>
      <c r="D53">
        <v>6.2</v>
      </c>
      <c r="E53">
        <v>7.38</v>
      </c>
      <c r="F53">
        <v>8.14</v>
      </c>
      <c r="G53">
        <v>8.9</v>
      </c>
      <c r="H53">
        <v>9.2200000000000006</v>
      </c>
      <c r="I53">
        <v>9.39</v>
      </c>
      <c r="J53">
        <v>9.61</v>
      </c>
      <c r="K53">
        <v>9.74</v>
      </c>
      <c r="L53">
        <v>9.83</v>
      </c>
      <c r="M53">
        <v>9.89</v>
      </c>
      <c r="N53">
        <v>9.94</v>
      </c>
      <c r="O53">
        <v>9.98</v>
      </c>
      <c r="S53" s="1"/>
    </row>
    <row r="54" spans="1:19" x14ac:dyDescent="0.35">
      <c r="A54" s="1">
        <v>44255</v>
      </c>
      <c r="B54">
        <v>6.05</v>
      </c>
      <c r="C54">
        <v>6.85</v>
      </c>
      <c r="D54">
        <v>7.92</v>
      </c>
      <c r="E54">
        <v>8.52</v>
      </c>
      <c r="F54">
        <v>886</v>
      </c>
      <c r="G54">
        <v>9.1300000000000008</v>
      </c>
      <c r="H54">
        <v>9.17</v>
      </c>
      <c r="I54">
        <v>9.18</v>
      </c>
      <c r="J54">
        <v>9.17</v>
      </c>
      <c r="K54">
        <v>9.14</v>
      </c>
      <c r="L54">
        <v>9.1199999999999992</v>
      </c>
      <c r="M54">
        <v>9.09</v>
      </c>
      <c r="N54">
        <v>9.08</v>
      </c>
      <c r="O54">
        <v>9.06</v>
      </c>
      <c r="S54" s="1"/>
    </row>
    <row r="55" spans="1:19" x14ac:dyDescent="0.35">
      <c r="A55" s="1">
        <v>44316</v>
      </c>
      <c r="B55">
        <v>6.16</v>
      </c>
      <c r="C55">
        <v>6.88</v>
      </c>
      <c r="D55">
        <v>7.83</v>
      </c>
      <c r="E55">
        <v>8.36</v>
      </c>
      <c r="F55">
        <v>8.65</v>
      </c>
      <c r="G55">
        <v>8.86</v>
      </c>
      <c r="H55">
        <v>8.8800000000000008</v>
      </c>
      <c r="I55">
        <v>8.8800000000000008</v>
      </c>
      <c r="J55">
        <v>8.85</v>
      </c>
      <c r="K55">
        <v>8.82</v>
      </c>
      <c r="L55">
        <v>8.7799999999999994</v>
      </c>
      <c r="M55">
        <v>8.75</v>
      </c>
      <c r="N55">
        <v>8.73</v>
      </c>
      <c r="O55">
        <v>8.7100000000000009</v>
      </c>
      <c r="S55" s="1"/>
    </row>
    <row r="56" spans="1:19" x14ac:dyDescent="0.35">
      <c r="A56" s="1">
        <v>44347</v>
      </c>
      <c r="B56">
        <v>6.22</v>
      </c>
      <c r="C56">
        <v>6.94</v>
      </c>
      <c r="D56">
        <v>7.88</v>
      </c>
      <c r="E56">
        <v>8.4</v>
      </c>
      <c r="F56">
        <v>8.68</v>
      </c>
      <c r="G56">
        <v>8.8800000000000008</v>
      </c>
      <c r="H56">
        <v>8.9</v>
      </c>
      <c r="I56">
        <v>8.9</v>
      </c>
      <c r="J56">
        <v>8.8699999999999992</v>
      </c>
      <c r="K56">
        <v>8.83</v>
      </c>
      <c r="L56">
        <v>8.7899999999999991</v>
      </c>
      <c r="M56">
        <v>8.76</v>
      </c>
      <c r="N56">
        <v>8.74</v>
      </c>
      <c r="O56">
        <v>8.7200000000000006</v>
      </c>
      <c r="S56" s="1"/>
    </row>
    <row r="57" spans="1:19" x14ac:dyDescent="0.35">
      <c r="A57" s="1">
        <v>44377</v>
      </c>
      <c r="B57">
        <v>5.51</v>
      </c>
      <c r="C57">
        <v>6.22</v>
      </c>
      <c r="D57">
        <v>7.15</v>
      </c>
      <c r="E57">
        <v>7.57</v>
      </c>
      <c r="F57">
        <v>7.94</v>
      </c>
      <c r="G57">
        <v>8.14</v>
      </c>
      <c r="H57">
        <v>8.16</v>
      </c>
      <c r="I57">
        <v>8.16</v>
      </c>
      <c r="J57">
        <v>8.1300000000000008</v>
      </c>
      <c r="K57">
        <v>8.08</v>
      </c>
      <c r="L57">
        <v>8.0500000000000007</v>
      </c>
      <c r="M57">
        <v>8.02</v>
      </c>
      <c r="N57">
        <v>7.99</v>
      </c>
      <c r="O57">
        <v>7.97</v>
      </c>
      <c r="S57" s="1"/>
    </row>
    <row r="58" spans="1:19" x14ac:dyDescent="0.35">
      <c r="A58" s="1">
        <v>44408</v>
      </c>
      <c r="B58">
        <v>3.61</v>
      </c>
      <c r="C58">
        <v>4.63</v>
      </c>
      <c r="D58">
        <v>6.06</v>
      </c>
      <c r="E58">
        <v>6.94</v>
      </c>
      <c r="F58">
        <v>7.48</v>
      </c>
      <c r="G58">
        <v>8.0399999999999991</v>
      </c>
      <c r="H58">
        <v>8.18</v>
      </c>
      <c r="I58">
        <v>8.27</v>
      </c>
      <c r="J58">
        <v>8.3800000000000008</v>
      </c>
      <c r="K58">
        <v>8.44</v>
      </c>
      <c r="L58">
        <v>8.48</v>
      </c>
      <c r="M58">
        <v>8.5</v>
      </c>
      <c r="N58">
        <v>8.52</v>
      </c>
      <c r="O58">
        <v>8.5299999999999994</v>
      </c>
      <c r="S58" s="1"/>
    </row>
    <row r="59" spans="1:19" x14ac:dyDescent="0.35">
      <c r="A59" s="1">
        <v>44439</v>
      </c>
      <c r="B59">
        <v>5.8</v>
      </c>
      <c r="C59">
        <v>6.72</v>
      </c>
      <c r="D59">
        <v>7.97</v>
      </c>
      <c r="E59">
        <v>8.7200000000000006</v>
      </c>
      <c r="F59">
        <v>9.17</v>
      </c>
      <c r="G59">
        <v>9.61</v>
      </c>
      <c r="H59">
        <v>9.6999999999999993</v>
      </c>
      <c r="I59">
        <v>9.76</v>
      </c>
      <c r="J59">
        <v>9.82</v>
      </c>
      <c r="K59">
        <v>9.85</v>
      </c>
      <c r="L59">
        <v>9.86</v>
      </c>
      <c r="M59">
        <v>9.86</v>
      </c>
      <c r="N59">
        <v>9.86</v>
      </c>
      <c r="O59">
        <v>9.8699999999999992</v>
      </c>
      <c r="S59" s="1"/>
    </row>
    <row r="60" spans="1:19" x14ac:dyDescent="0.35">
      <c r="A60" s="1">
        <v>44469</v>
      </c>
      <c r="B60">
        <v>4.6900000000000004</v>
      </c>
      <c r="C60">
        <v>5.76</v>
      </c>
      <c r="D60">
        <v>7.27</v>
      </c>
      <c r="E60">
        <v>8.1999999999999993</v>
      </c>
      <c r="F60">
        <v>8.7799999999999994</v>
      </c>
      <c r="G60">
        <v>9.39</v>
      </c>
      <c r="H60">
        <v>9.5500000000000007</v>
      </c>
      <c r="I60">
        <v>9.66</v>
      </c>
      <c r="J60">
        <v>9.7899999999999991</v>
      </c>
      <c r="K60">
        <v>9.86</v>
      </c>
      <c r="L60">
        <v>9.91</v>
      </c>
      <c r="M60">
        <v>9.94</v>
      </c>
      <c r="N60">
        <v>9.9700000000000006</v>
      </c>
      <c r="O60">
        <v>9.98</v>
      </c>
      <c r="S60" s="1"/>
    </row>
    <row r="61" spans="1:19" x14ac:dyDescent="0.35">
      <c r="A61" s="1">
        <v>44500</v>
      </c>
      <c r="B61">
        <v>7.01</v>
      </c>
      <c r="C61">
        <v>7.82</v>
      </c>
      <c r="D61">
        <v>8.91</v>
      </c>
      <c r="E61">
        <v>9.5399999999999991</v>
      </c>
      <c r="F61">
        <v>9.89</v>
      </c>
      <c r="G61">
        <v>10.210000000000001</v>
      </c>
      <c r="H61">
        <v>10.26</v>
      </c>
      <c r="I61">
        <v>10.29</v>
      </c>
      <c r="J61">
        <v>10.3</v>
      </c>
      <c r="K61">
        <v>10.29</v>
      </c>
      <c r="L61">
        <v>10.27</v>
      </c>
      <c r="M61">
        <v>10.26</v>
      </c>
      <c r="N61">
        <v>10.25</v>
      </c>
      <c r="O61">
        <v>10.24</v>
      </c>
      <c r="S61" s="1"/>
    </row>
    <row r="62" spans="1:19" x14ac:dyDescent="0.35">
      <c r="A62" s="1">
        <v>44530</v>
      </c>
      <c r="B62">
        <v>7.55</v>
      </c>
      <c r="C62">
        <v>8.2899999999999991</v>
      </c>
      <c r="D62">
        <v>9.2899999999999991</v>
      </c>
      <c r="E62">
        <v>9.84</v>
      </c>
      <c r="F62">
        <v>10.15</v>
      </c>
      <c r="G62">
        <v>10.39</v>
      </c>
      <c r="H62">
        <v>10.42</v>
      </c>
      <c r="I62">
        <v>10.43</v>
      </c>
      <c r="J62">
        <v>10.42</v>
      </c>
      <c r="K62">
        <v>10.39</v>
      </c>
      <c r="L62">
        <v>10.36</v>
      </c>
      <c r="M62">
        <v>10.33</v>
      </c>
      <c r="N62">
        <v>10.31</v>
      </c>
      <c r="O62">
        <v>10.3</v>
      </c>
      <c r="S62" s="1"/>
    </row>
    <row r="63" spans="1:19" x14ac:dyDescent="0.35">
      <c r="A63" s="1">
        <v>44561</v>
      </c>
      <c r="B63">
        <v>7.58</v>
      </c>
      <c r="C63">
        <v>8.1199999999999992</v>
      </c>
      <c r="D63">
        <v>8.8000000000000007</v>
      </c>
      <c r="E63">
        <v>9.1300000000000008</v>
      </c>
      <c r="F63">
        <v>9.27</v>
      </c>
      <c r="G63">
        <v>9.2799999999999994</v>
      </c>
      <c r="H63">
        <v>9.24</v>
      </c>
      <c r="I63">
        <v>9.18</v>
      </c>
      <c r="J63">
        <v>9.08</v>
      </c>
      <c r="K63">
        <v>8.98</v>
      </c>
      <c r="L63">
        <v>8.91</v>
      </c>
      <c r="M63">
        <v>8.85</v>
      </c>
      <c r="N63">
        <v>8.81</v>
      </c>
      <c r="O63">
        <v>8.77</v>
      </c>
      <c r="S63" s="1"/>
    </row>
    <row r="64" spans="1:19" x14ac:dyDescent="0.35">
      <c r="A64" s="1">
        <v>44592</v>
      </c>
      <c r="B64">
        <v>7.77</v>
      </c>
      <c r="C64">
        <v>8.4</v>
      </c>
      <c r="D64">
        <v>9.2100000000000009</v>
      </c>
      <c r="E64">
        <v>9.6300000000000008</v>
      </c>
      <c r="F64">
        <v>9.84</v>
      </c>
      <c r="G64">
        <v>9.9499999999999993</v>
      </c>
      <c r="H64">
        <v>9.94</v>
      </c>
      <c r="I64">
        <v>9.91</v>
      </c>
      <c r="J64">
        <v>9.84</v>
      </c>
      <c r="K64">
        <v>9.7799999999999994</v>
      </c>
      <c r="L64">
        <v>9.7200000000000006</v>
      </c>
      <c r="M64">
        <v>9.68</v>
      </c>
      <c r="N64">
        <v>9.64</v>
      </c>
      <c r="O64">
        <v>9.61</v>
      </c>
      <c r="S64" s="1"/>
    </row>
    <row r="65" spans="1:19" x14ac:dyDescent="0.35">
      <c r="A65" s="1">
        <v>44620</v>
      </c>
      <c r="B65">
        <v>6.95</v>
      </c>
      <c r="C65">
        <v>7.6</v>
      </c>
      <c r="D65">
        <v>8.44</v>
      </c>
      <c r="E65">
        <v>8.89</v>
      </c>
      <c r="F65">
        <v>9.1199999999999992</v>
      </c>
      <c r="G65">
        <v>9.25</v>
      </c>
      <c r="H65">
        <v>9.24</v>
      </c>
      <c r="I65">
        <v>9.2200000000000006</v>
      </c>
      <c r="J65">
        <v>9.16</v>
      </c>
      <c r="K65">
        <v>9.1</v>
      </c>
      <c r="L65">
        <v>9.0500000000000007</v>
      </c>
      <c r="M65">
        <v>9.01</v>
      </c>
      <c r="N65">
        <v>8.9700000000000006</v>
      </c>
      <c r="O65">
        <v>8.9499999999999993</v>
      </c>
      <c r="S65" s="1"/>
    </row>
    <row r="66" spans="1:19" x14ac:dyDescent="0.35">
      <c r="A66" s="1">
        <v>44681</v>
      </c>
      <c r="B66">
        <v>6</v>
      </c>
      <c r="C66">
        <v>6.69</v>
      </c>
      <c r="D66">
        <v>7.6</v>
      </c>
      <c r="E66">
        <v>8.1</v>
      </c>
      <c r="F66">
        <v>8.3800000000000008</v>
      </c>
      <c r="G66">
        <v>8.59</v>
      </c>
      <c r="H66">
        <v>8.61</v>
      </c>
      <c r="I66">
        <v>8.6199999999999992</v>
      </c>
      <c r="J66">
        <v>8.59</v>
      </c>
      <c r="K66">
        <v>8.56</v>
      </c>
      <c r="L66">
        <v>8.5299999999999994</v>
      </c>
      <c r="M66">
        <v>8.51</v>
      </c>
      <c r="N66">
        <v>8.49</v>
      </c>
      <c r="O66">
        <v>8.4700000000000006</v>
      </c>
      <c r="S66" s="1"/>
    </row>
    <row r="67" spans="1:19" x14ac:dyDescent="0.35">
      <c r="A67" s="1">
        <v>44712</v>
      </c>
      <c r="B67">
        <v>5.72</v>
      </c>
      <c r="C67">
        <v>6.31</v>
      </c>
      <c r="D67">
        <v>7.21</v>
      </c>
      <c r="E67">
        <v>7.83</v>
      </c>
      <c r="F67">
        <v>8.26</v>
      </c>
      <c r="G67">
        <v>8.81</v>
      </c>
      <c r="H67">
        <v>8.98</v>
      </c>
      <c r="I67">
        <v>9.1199999999999992</v>
      </c>
      <c r="J67">
        <v>9.31</v>
      </c>
      <c r="K67">
        <v>9.44</v>
      </c>
      <c r="L67">
        <v>9.5299999999999994</v>
      </c>
      <c r="M67">
        <v>9.6</v>
      </c>
      <c r="N67">
        <v>9.65</v>
      </c>
      <c r="O67">
        <v>9.69</v>
      </c>
      <c r="S67" s="1"/>
    </row>
    <row r="68" spans="1:19" x14ac:dyDescent="0.35">
      <c r="A68" s="1">
        <v>44742</v>
      </c>
      <c r="B68">
        <v>5.87</v>
      </c>
      <c r="C68">
        <v>6.34</v>
      </c>
      <c r="D68">
        <v>7.04</v>
      </c>
      <c r="E68">
        <v>7.51</v>
      </c>
      <c r="F68">
        <v>7.84</v>
      </c>
      <c r="G68">
        <v>8.25</v>
      </c>
      <c r="H68">
        <v>8.3699999999999992</v>
      </c>
      <c r="I68">
        <v>8.4700000000000006</v>
      </c>
      <c r="J68">
        <v>8.6</v>
      </c>
      <c r="K68">
        <v>8.69</v>
      </c>
      <c r="L68">
        <v>8.76</v>
      </c>
      <c r="M68">
        <v>8.8000000000000007</v>
      </c>
      <c r="N68">
        <v>8.84</v>
      </c>
      <c r="O68">
        <v>8.8699999999999992</v>
      </c>
      <c r="S68" s="1"/>
    </row>
    <row r="69" spans="1:19" x14ac:dyDescent="0.35">
      <c r="A69" s="1">
        <v>44804</v>
      </c>
      <c r="B69">
        <v>5.8</v>
      </c>
      <c r="C69">
        <v>6.16</v>
      </c>
      <c r="D69">
        <v>6.75</v>
      </c>
      <c r="E69">
        <v>7.23</v>
      </c>
      <c r="F69">
        <v>7.61</v>
      </c>
      <c r="G69">
        <v>8.15</v>
      </c>
      <c r="H69">
        <v>8.35</v>
      </c>
      <c r="I69">
        <v>8.51</v>
      </c>
      <c r="J69">
        <v>8.75</v>
      </c>
      <c r="K69">
        <v>8.92</v>
      </c>
      <c r="L69">
        <v>9.0500000000000007</v>
      </c>
      <c r="M69">
        <v>9.14</v>
      </c>
      <c r="N69">
        <v>9.2200000000000006</v>
      </c>
      <c r="O69">
        <v>9.2799999999999994</v>
      </c>
      <c r="S69" s="1"/>
    </row>
    <row r="70" spans="1:19" x14ac:dyDescent="0.35">
      <c r="A70" s="1">
        <v>44834</v>
      </c>
      <c r="B70">
        <v>5.43</v>
      </c>
      <c r="C70">
        <v>5.88</v>
      </c>
      <c r="D70">
        <v>6.61</v>
      </c>
      <c r="E70">
        <v>7.18</v>
      </c>
      <c r="F70">
        <v>7.61</v>
      </c>
      <c r="G70">
        <v>8.2100000000000009</v>
      </c>
      <c r="H70">
        <v>8.43</v>
      </c>
      <c r="I70">
        <v>8.6</v>
      </c>
      <c r="J70">
        <v>8.86</v>
      </c>
      <c r="K70">
        <v>9.0399999999999991</v>
      </c>
      <c r="L70">
        <v>9.17</v>
      </c>
      <c r="M70">
        <v>9.27</v>
      </c>
      <c r="N70">
        <v>9.35</v>
      </c>
      <c r="O70">
        <v>9.41</v>
      </c>
      <c r="S70" s="1"/>
    </row>
    <row r="71" spans="1:19" x14ac:dyDescent="0.35">
      <c r="A71" s="1">
        <v>44865</v>
      </c>
      <c r="B71">
        <v>6.21</v>
      </c>
      <c r="C71">
        <v>6.79</v>
      </c>
      <c r="D71">
        <v>7.57</v>
      </c>
      <c r="E71">
        <v>8.0399999999999991</v>
      </c>
      <c r="F71">
        <v>8.32</v>
      </c>
      <c r="G71">
        <v>8.59</v>
      </c>
      <c r="H71">
        <v>8.64</v>
      </c>
      <c r="I71">
        <v>8.68</v>
      </c>
      <c r="J71">
        <v>8.7100000000000009</v>
      </c>
      <c r="K71">
        <v>8.73</v>
      </c>
      <c r="L71">
        <v>8.73</v>
      </c>
      <c r="M71">
        <v>8.73</v>
      </c>
      <c r="N71">
        <v>8.73</v>
      </c>
      <c r="O71">
        <v>8.73</v>
      </c>
      <c r="S71" s="1"/>
    </row>
    <row r="72" spans="1:19" x14ac:dyDescent="0.35">
      <c r="A72" s="1">
        <v>44895</v>
      </c>
      <c r="B72">
        <v>5.17</v>
      </c>
      <c r="C72">
        <v>5.59</v>
      </c>
      <c r="D72">
        <v>6.31</v>
      </c>
      <c r="E72">
        <v>6.89</v>
      </c>
      <c r="F72">
        <v>7.36</v>
      </c>
      <c r="G72">
        <v>8.0299999999999994</v>
      </c>
      <c r="H72">
        <v>8.2799999999999994</v>
      </c>
      <c r="I72">
        <v>8.48</v>
      </c>
      <c r="J72">
        <v>8.7899999999999991</v>
      </c>
      <c r="K72">
        <v>9.01</v>
      </c>
      <c r="L72">
        <v>9.17</v>
      </c>
      <c r="M72">
        <v>9.2899999999999991</v>
      </c>
      <c r="N72">
        <v>9.3800000000000008</v>
      </c>
      <c r="O72">
        <v>9.4600000000000009</v>
      </c>
      <c r="S72" s="1"/>
    </row>
    <row r="73" spans="1:19" x14ac:dyDescent="0.35">
      <c r="A73" s="1">
        <v>44926</v>
      </c>
      <c r="B73">
        <v>5.59</v>
      </c>
      <c r="C73">
        <v>6.26</v>
      </c>
      <c r="D73">
        <v>7.16</v>
      </c>
      <c r="E73">
        <v>7.71</v>
      </c>
      <c r="F73">
        <v>8.0299999999999994</v>
      </c>
      <c r="G73">
        <v>8.33</v>
      </c>
      <c r="H73">
        <v>8.4</v>
      </c>
      <c r="I73">
        <v>8.44</v>
      </c>
      <c r="J73">
        <v>8.48</v>
      </c>
      <c r="K73">
        <v>8.49</v>
      </c>
      <c r="L73">
        <v>8.49</v>
      </c>
      <c r="M73">
        <v>8.5</v>
      </c>
      <c r="N73">
        <v>8.5</v>
      </c>
      <c r="O73">
        <v>8.5</v>
      </c>
      <c r="S73" s="1"/>
    </row>
    <row r="74" spans="1:19" x14ac:dyDescent="0.35">
      <c r="A74" s="1">
        <v>44957</v>
      </c>
      <c r="B74">
        <v>5.41</v>
      </c>
      <c r="C74">
        <v>6.34</v>
      </c>
      <c r="D74">
        <v>7.54</v>
      </c>
      <c r="E74">
        <v>8.16</v>
      </c>
      <c r="F74">
        <v>8.4499999999999993</v>
      </c>
      <c r="G74">
        <v>8.6</v>
      </c>
      <c r="H74">
        <v>8.57</v>
      </c>
      <c r="I74">
        <v>8.52</v>
      </c>
      <c r="J74">
        <v>8.41</v>
      </c>
      <c r="K74">
        <v>8.3000000000000007</v>
      </c>
      <c r="L74">
        <v>8.2200000000000006</v>
      </c>
      <c r="M74">
        <v>8.15</v>
      </c>
      <c r="N74">
        <v>8.09</v>
      </c>
      <c r="O74">
        <v>8.0500000000000007</v>
      </c>
      <c r="S74" s="1"/>
    </row>
    <row r="75" spans="1:19" x14ac:dyDescent="0.35">
      <c r="A75" s="1">
        <v>45016</v>
      </c>
      <c r="B75">
        <v>5.8</v>
      </c>
      <c r="C75">
        <v>6.36</v>
      </c>
      <c r="D75">
        <v>7.19</v>
      </c>
      <c r="E75">
        <v>7.76</v>
      </c>
      <c r="F75">
        <v>8.16</v>
      </c>
      <c r="G75">
        <v>8.66</v>
      </c>
      <c r="H75">
        <v>8.81</v>
      </c>
      <c r="I75">
        <v>8.93</v>
      </c>
      <c r="J75">
        <v>9.1</v>
      </c>
      <c r="K75">
        <v>9.2100000000000009</v>
      </c>
      <c r="L75">
        <v>9.2899999999999991</v>
      </c>
      <c r="M75">
        <v>9.5</v>
      </c>
      <c r="N75">
        <v>9.4</v>
      </c>
      <c r="O75">
        <v>9.43</v>
      </c>
      <c r="S75" s="1"/>
    </row>
    <row r="76" spans="1:19" x14ac:dyDescent="0.35">
      <c r="A76" s="1">
        <v>45046</v>
      </c>
      <c r="B76">
        <v>5.88</v>
      </c>
      <c r="C76">
        <v>6.6</v>
      </c>
      <c r="D76">
        <v>7.61</v>
      </c>
      <c r="E76">
        <v>8.2200000000000006</v>
      </c>
      <c r="F76">
        <v>8.6</v>
      </c>
      <c r="G76">
        <v>8.99</v>
      </c>
      <c r="H76">
        <v>9.09</v>
      </c>
      <c r="I76">
        <v>9.15</v>
      </c>
      <c r="J76">
        <v>9.2200000000000006</v>
      </c>
      <c r="K76">
        <v>9.26</v>
      </c>
      <c r="L76">
        <v>9.2799999999999994</v>
      </c>
      <c r="M76">
        <v>9.3000000000000007</v>
      </c>
      <c r="N76">
        <v>9.31</v>
      </c>
      <c r="O76">
        <v>9.32</v>
      </c>
      <c r="S76" s="1"/>
    </row>
    <row r="77" spans="1:19" x14ac:dyDescent="0.35">
      <c r="A77" s="1">
        <v>45077</v>
      </c>
      <c r="B77">
        <v>5.89</v>
      </c>
      <c r="C77">
        <v>6.54</v>
      </c>
      <c r="D77">
        <v>7.44</v>
      </c>
      <c r="E77">
        <v>7.98</v>
      </c>
      <c r="F77">
        <v>8.31</v>
      </c>
      <c r="G77">
        <v>8.6300000000000008</v>
      </c>
      <c r="H77">
        <v>8.7100000000000009</v>
      </c>
      <c r="I77">
        <v>8.76</v>
      </c>
      <c r="J77">
        <v>8.81</v>
      </c>
      <c r="K77">
        <v>8.83</v>
      </c>
      <c r="L77">
        <v>8.84</v>
      </c>
      <c r="M77">
        <v>8.85</v>
      </c>
      <c r="N77">
        <v>8.85</v>
      </c>
      <c r="O77">
        <v>8.86</v>
      </c>
      <c r="S77" s="1"/>
    </row>
    <row r="78" spans="1:19" x14ac:dyDescent="0.35">
      <c r="A78" s="1">
        <v>45107</v>
      </c>
      <c r="B78">
        <v>6.18</v>
      </c>
      <c r="C78">
        <v>6.6</v>
      </c>
      <c r="D78">
        <v>7.24</v>
      </c>
      <c r="E78">
        <v>7.69</v>
      </c>
      <c r="F78">
        <v>8.02</v>
      </c>
      <c r="G78">
        <v>8.44</v>
      </c>
      <c r="H78">
        <v>8.58</v>
      </c>
      <c r="I78">
        <v>8.69</v>
      </c>
      <c r="J78">
        <v>8.85</v>
      </c>
      <c r="K78">
        <v>8.9499999999999993</v>
      </c>
      <c r="L78">
        <v>9.0299999999999994</v>
      </c>
      <c r="M78">
        <v>9.09</v>
      </c>
      <c r="N78">
        <v>9.1300000000000008</v>
      </c>
      <c r="O78">
        <v>9.17</v>
      </c>
      <c r="S78" s="1"/>
    </row>
    <row r="79" spans="1:19" x14ac:dyDescent="0.35">
      <c r="A79" s="1">
        <v>45138</v>
      </c>
      <c r="B79">
        <v>6.22</v>
      </c>
      <c r="C79">
        <v>6.11</v>
      </c>
      <c r="D79">
        <v>6.25</v>
      </c>
      <c r="E79">
        <v>6.61</v>
      </c>
      <c r="F79">
        <v>7.07</v>
      </c>
      <c r="G79">
        <v>7.95</v>
      </c>
      <c r="H79">
        <v>8.33</v>
      </c>
      <c r="I79">
        <v>8.66</v>
      </c>
      <c r="J79">
        <v>9.1999999999999993</v>
      </c>
      <c r="K79">
        <v>9.6</v>
      </c>
      <c r="L79">
        <v>9.9</v>
      </c>
      <c r="M79">
        <v>10.130000000000001</v>
      </c>
      <c r="N79">
        <v>10.31</v>
      </c>
      <c r="O79">
        <v>10.46</v>
      </c>
      <c r="S79" s="1"/>
    </row>
    <row r="80" spans="1:19" x14ac:dyDescent="0.35">
      <c r="A80" s="1">
        <v>45199</v>
      </c>
      <c r="B80">
        <v>6.32</v>
      </c>
      <c r="C80">
        <v>6.6</v>
      </c>
      <c r="D80">
        <v>7.21</v>
      </c>
      <c r="E80">
        <v>7.81</v>
      </c>
      <c r="F80">
        <v>8.36</v>
      </c>
      <c r="G80">
        <v>9.25</v>
      </c>
      <c r="H80">
        <v>9.6</v>
      </c>
      <c r="I80">
        <v>9.89</v>
      </c>
      <c r="J80">
        <v>10.35</v>
      </c>
      <c r="K80">
        <v>10.69</v>
      </c>
      <c r="L80">
        <v>10.93</v>
      </c>
      <c r="M80">
        <v>11.12</v>
      </c>
      <c r="N80">
        <v>11.27</v>
      </c>
      <c r="O80">
        <v>11.39</v>
      </c>
      <c r="S80" s="1"/>
    </row>
    <row r="81" spans="1:19" x14ac:dyDescent="0.35">
      <c r="A81" s="1">
        <v>45350</v>
      </c>
      <c r="B81">
        <v>6.03</v>
      </c>
      <c r="C81">
        <v>6.84</v>
      </c>
      <c r="D81">
        <v>7.82</v>
      </c>
      <c r="E81">
        <v>8.27</v>
      </c>
      <c r="F81">
        <v>8.43</v>
      </c>
      <c r="G81">
        <v>8.3800000000000008</v>
      </c>
      <c r="H81">
        <v>8.2799999999999994</v>
      </c>
      <c r="I81">
        <v>8.18</v>
      </c>
      <c r="J81">
        <v>7.97</v>
      </c>
      <c r="K81">
        <v>7.81</v>
      </c>
      <c r="L81">
        <v>7.68</v>
      </c>
      <c r="M81">
        <v>7.57</v>
      </c>
      <c r="N81">
        <v>7.49</v>
      </c>
      <c r="O81">
        <v>7.42</v>
      </c>
      <c r="S81" s="1"/>
    </row>
    <row r="82" spans="1:19" x14ac:dyDescent="0.35">
      <c r="A82" s="1">
        <v>45382</v>
      </c>
      <c r="B82">
        <v>5.75</v>
      </c>
      <c r="C82">
        <v>6.64</v>
      </c>
      <c r="D82">
        <v>7.73</v>
      </c>
      <c r="E82">
        <v>8.24</v>
      </c>
      <c r="F82">
        <v>8.43</v>
      </c>
      <c r="G82">
        <v>8.39</v>
      </c>
      <c r="H82">
        <v>8.2899999999999991</v>
      </c>
      <c r="I82">
        <v>8.18</v>
      </c>
      <c r="J82">
        <v>7.97</v>
      </c>
      <c r="K82">
        <v>7.79</v>
      </c>
      <c r="L82">
        <v>7.65</v>
      </c>
      <c r="M82">
        <v>7.54</v>
      </c>
      <c r="N82">
        <v>7.46</v>
      </c>
      <c r="O82">
        <v>7.39</v>
      </c>
      <c r="S82" s="1"/>
    </row>
    <row r="83" spans="1:19" x14ac:dyDescent="0.35">
      <c r="A83" s="1">
        <v>45412</v>
      </c>
      <c r="B83">
        <v>6.61</v>
      </c>
      <c r="C83">
        <v>6.81</v>
      </c>
      <c r="D83">
        <v>7.17</v>
      </c>
      <c r="E83">
        <v>7.48</v>
      </c>
      <c r="F83">
        <v>7.75</v>
      </c>
      <c r="G83">
        <v>8.14</v>
      </c>
      <c r="H83">
        <v>8.2899999999999991</v>
      </c>
      <c r="I83">
        <v>8.42</v>
      </c>
      <c r="J83">
        <v>8.6</v>
      </c>
      <c r="K83">
        <v>8.74</v>
      </c>
      <c r="L83">
        <v>8.84</v>
      </c>
      <c r="M83">
        <v>8.92</v>
      </c>
      <c r="N83">
        <v>8.98</v>
      </c>
      <c r="O83">
        <v>9.02</v>
      </c>
      <c r="S83" s="1"/>
    </row>
    <row r="84" spans="1:19" x14ac:dyDescent="0.35">
      <c r="A84" s="1">
        <v>45443</v>
      </c>
      <c r="B84">
        <v>7.13</v>
      </c>
      <c r="C84">
        <v>6.71</v>
      </c>
      <c r="D84">
        <v>6.29</v>
      </c>
      <c r="E84">
        <v>6.21</v>
      </c>
      <c r="F84">
        <v>6.31</v>
      </c>
      <c r="G84">
        <v>6.66</v>
      </c>
      <c r="H84">
        <v>6.85</v>
      </c>
      <c r="I84">
        <v>7.02</v>
      </c>
      <c r="J84">
        <v>7.32</v>
      </c>
      <c r="K84">
        <v>7.55</v>
      </c>
      <c r="L84">
        <v>7.72</v>
      </c>
      <c r="M84">
        <v>7.86</v>
      </c>
      <c r="N84">
        <v>7.97</v>
      </c>
      <c r="O84">
        <v>8.0500000000000007</v>
      </c>
      <c r="S84" s="1"/>
    </row>
    <row r="85" spans="1:19" x14ac:dyDescent="0.35">
      <c r="A85" s="1">
        <v>45473</v>
      </c>
      <c r="B85">
        <v>6.54</v>
      </c>
      <c r="C85">
        <v>6.78</v>
      </c>
      <c r="D85">
        <v>7.1</v>
      </c>
      <c r="E85">
        <v>7.27</v>
      </c>
      <c r="F85">
        <v>7.37</v>
      </c>
      <c r="G85">
        <v>7.43</v>
      </c>
      <c r="H85">
        <v>7.44</v>
      </c>
      <c r="I85">
        <v>7.44</v>
      </c>
      <c r="J85">
        <v>7.43</v>
      </c>
      <c r="K85">
        <v>7.42</v>
      </c>
      <c r="L85">
        <v>7.4</v>
      </c>
      <c r="M85">
        <v>7.39</v>
      </c>
      <c r="N85">
        <v>7.38</v>
      </c>
      <c r="O85">
        <v>7.38</v>
      </c>
      <c r="S85" s="1"/>
    </row>
    <row r="86" spans="1:19" x14ac:dyDescent="0.35">
      <c r="A86" s="1">
        <v>45504</v>
      </c>
      <c r="B86">
        <v>7.27</v>
      </c>
      <c r="C86">
        <v>7.6</v>
      </c>
      <c r="D86">
        <v>8.0399999999999991</v>
      </c>
      <c r="E86">
        <v>8.2899999999999991</v>
      </c>
      <c r="F86">
        <v>8.42</v>
      </c>
      <c r="G86">
        <v>8.51</v>
      </c>
      <c r="H86">
        <v>8.52</v>
      </c>
      <c r="I86">
        <v>8.52</v>
      </c>
      <c r="J86">
        <v>8.5</v>
      </c>
      <c r="K86">
        <v>8.48</v>
      </c>
      <c r="L86">
        <v>8.4700000000000006</v>
      </c>
      <c r="M86">
        <v>8.4499999999999993</v>
      </c>
      <c r="N86">
        <v>8.44</v>
      </c>
      <c r="O86">
        <v>8.43</v>
      </c>
      <c r="S86" s="1"/>
    </row>
    <row r="87" spans="1:19" x14ac:dyDescent="0.35">
      <c r="A87" s="1">
        <v>45688</v>
      </c>
      <c r="B87">
        <v>6.73</v>
      </c>
      <c r="C87">
        <v>7.08</v>
      </c>
      <c r="D87">
        <v>7.6</v>
      </c>
      <c r="E87">
        <v>7.96</v>
      </c>
      <c r="F87">
        <v>8.2100000000000009</v>
      </c>
      <c r="G87">
        <v>8.52</v>
      </c>
      <c r="H87">
        <v>8.6199999999999992</v>
      </c>
      <c r="I87">
        <v>8.69</v>
      </c>
      <c r="J87">
        <v>8.8000000000000007</v>
      </c>
      <c r="K87">
        <v>8.8699999999999992</v>
      </c>
      <c r="L87">
        <v>8.92</v>
      </c>
      <c r="M87">
        <v>8.9600000000000009</v>
      </c>
      <c r="N87">
        <v>8.99</v>
      </c>
      <c r="O87">
        <v>9.01</v>
      </c>
      <c r="S87" s="1"/>
    </row>
    <row r="88" spans="1:19" x14ac:dyDescent="0.35">
      <c r="A88" s="1">
        <v>45716</v>
      </c>
      <c r="B88">
        <v>6.19</v>
      </c>
      <c r="C88">
        <v>7.15</v>
      </c>
      <c r="D88">
        <v>8.31</v>
      </c>
      <c r="E88">
        <v>8.84</v>
      </c>
      <c r="F88">
        <v>9.0399999999999991</v>
      </c>
      <c r="G88">
        <v>8.98</v>
      </c>
      <c r="H88">
        <v>8.8699999999999992</v>
      </c>
      <c r="I88">
        <v>8.74</v>
      </c>
      <c r="J88">
        <v>8.51</v>
      </c>
      <c r="K88">
        <v>8.31</v>
      </c>
      <c r="L88">
        <v>8.16</v>
      </c>
      <c r="M88">
        <v>8.0399999999999991</v>
      </c>
      <c r="N88">
        <v>7.94</v>
      </c>
      <c r="O88">
        <v>7.86</v>
      </c>
      <c r="S88" s="1"/>
    </row>
    <row r="89" spans="1:19" x14ac:dyDescent="0.35">
      <c r="A89" s="1">
        <v>45777</v>
      </c>
      <c r="B89">
        <v>7.44</v>
      </c>
      <c r="C89">
        <v>7.93</v>
      </c>
      <c r="D89">
        <v>8.58</v>
      </c>
      <c r="E89">
        <v>8.94</v>
      </c>
      <c r="F89">
        <v>9.15</v>
      </c>
      <c r="G89">
        <v>9.31</v>
      </c>
      <c r="H89">
        <v>9.33</v>
      </c>
      <c r="I89">
        <v>9.34</v>
      </c>
      <c r="J89">
        <v>9.33</v>
      </c>
      <c r="K89">
        <v>9.31</v>
      </c>
      <c r="L89">
        <v>9.3000000000000007</v>
      </c>
      <c r="M89">
        <v>9.2799999999999994</v>
      </c>
      <c r="N89">
        <v>9.27</v>
      </c>
      <c r="O89">
        <v>9.26</v>
      </c>
      <c r="S89" s="1"/>
    </row>
    <row r="90" spans="1:19" x14ac:dyDescent="0.35">
      <c r="A90" s="1">
        <v>45808</v>
      </c>
      <c r="B90">
        <v>6.49</v>
      </c>
      <c r="C90">
        <v>7.18</v>
      </c>
      <c r="D90">
        <v>8.19</v>
      </c>
      <c r="E90">
        <v>8.86</v>
      </c>
      <c r="F90">
        <v>9.32</v>
      </c>
      <c r="G90">
        <v>9.9600000000000009</v>
      </c>
      <c r="H90">
        <v>10.029999999999999</v>
      </c>
      <c r="I90">
        <v>10.15</v>
      </c>
      <c r="J90">
        <v>10.33</v>
      </c>
      <c r="K90">
        <v>10.44</v>
      </c>
      <c r="L90">
        <v>10.52</v>
      </c>
      <c r="M90">
        <v>10.57</v>
      </c>
      <c r="N90">
        <v>10.62</v>
      </c>
      <c r="O90">
        <v>10.65</v>
      </c>
      <c r="S90" s="1"/>
    </row>
    <row r="91" spans="1:19" x14ac:dyDescent="0.35">
      <c r="A91" s="1">
        <v>45838</v>
      </c>
      <c r="B91">
        <v>6.52</v>
      </c>
      <c r="C91">
        <v>7.19</v>
      </c>
      <c r="D91">
        <v>8.14</v>
      </c>
      <c r="E91">
        <v>8.7200000000000006</v>
      </c>
      <c r="F91">
        <v>9.08</v>
      </c>
      <c r="G91">
        <v>9.4600000000000009</v>
      </c>
      <c r="H91">
        <v>9.56</v>
      </c>
      <c r="I91">
        <v>9.6199999999999992</v>
      </c>
      <c r="J91">
        <v>9.6999999999999993</v>
      </c>
      <c r="K91">
        <v>9.74</v>
      </c>
      <c r="L91">
        <v>9.76</v>
      </c>
      <c r="M91">
        <v>9.7799999999999994</v>
      </c>
      <c r="N91">
        <v>9.7899999999999991</v>
      </c>
      <c r="O91">
        <v>9.8000000000000007</v>
      </c>
      <c r="S91" s="1"/>
    </row>
    <row r="92" spans="1:19" x14ac:dyDescent="0.35">
      <c r="S92" s="1"/>
    </row>
    <row r="93" spans="1:19" x14ac:dyDescent="0.35">
      <c r="S93" s="1"/>
    </row>
    <row r="94" spans="1:19" x14ac:dyDescent="0.35">
      <c r="S94" s="1"/>
    </row>
    <row r="95" spans="1:19" x14ac:dyDescent="0.35">
      <c r="S95" s="1"/>
    </row>
    <row r="96" spans="1:19" x14ac:dyDescent="0.35">
      <c r="S96" s="1"/>
    </row>
    <row r="97" spans="19:19" x14ac:dyDescent="0.35">
      <c r="S97" s="1"/>
    </row>
    <row r="98" spans="19:19" x14ac:dyDescent="0.35">
      <c r="S98" s="1"/>
    </row>
    <row r="99" spans="19:19" x14ac:dyDescent="0.35">
      <c r="S99" s="1"/>
    </row>
    <row r="100" spans="19:19" x14ac:dyDescent="0.35">
      <c r="S100" s="1"/>
    </row>
    <row r="101" spans="19:19" x14ac:dyDescent="0.35">
      <c r="S101" s="1"/>
    </row>
    <row r="102" spans="19:19" x14ac:dyDescent="0.35">
      <c r="S102" s="1"/>
    </row>
    <row r="103" spans="19:19" x14ac:dyDescent="0.35">
      <c r="S103" s="1"/>
    </row>
    <row r="104" spans="19:19" x14ac:dyDescent="0.35">
      <c r="S104" s="1"/>
    </row>
    <row r="105" spans="19:19" x14ac:dyDescent="0.35">
      <c r="S105" s="1"/>
    </row>
    <row r="106" spans="19:19" x14ac:dyDescent="0.35">
      <c r="S106" s="1"/>
    </row>
    <row r="107" spans="19:19" x14ac:dyDescent="0.35">
      <c r="S107" s="1"/>
    </row>
    <row r="108" spans="19:19" x14ac:dyDescent="0.35">
      <c r="S108" s="1"/>
    </row>
    <row r="109" spans="19:19" x14ac:dyDescent="0.35">
      <c r="S109" s="1"/>
    </row>
    <row r="110" spans="19:19" x14ac:dyDescent="0.35">
      <c r="S110" s="1"/>
    </row>
    <row r="111" spans="19:19" x14ac:dyDescent="0.35">
      <c r="S111" s="1"/>
    </row>
    <row r="112" spans="19:19" x14ac:dyDescent="0.35">
      <c r="S112" s="1"/>
    </row>
    <row r="113" spans="19:19" x14ac:dyDescent="0.35">
      <c r="S113" s="1"/>
    </row>
    <row r="114" spans="19:19" x14ac:dyDescent="0.35">
      <c r="S114" s="1"/>
    </row>
    <row r="115" spans="19:19" x14ac:dyDescent="0.35">
      <c r="S115" s="1"/>
    </row>
    <row r="116" spans="19:19" x14ac:dyDescent="0.35">
      <c r="S116" s="1"/>
    </row>
    <row r="117" spans="19:19" x14ac:dyDescent="0.35">
      <c r="S117" s="1"/>
    </row>
    <row r="118" spans="19:19" x14ac:dyDescent="0.35">
      <c r="S118" s="1"/>
    </row>
    <row r="119" spans="19:19" x14ac:dyDescent="0.35">
      <c r="S119" s="1"/>
    </row>
    <row r="120" spans="19:19" x14ac:dyDescent="0.35">
      <c r="S120" s="1"/>
    </row>
    <row r="121" spans="19:19" x14ac:dyDescent="0.35">
      <c r="S121" s="1"/>
    </row>
    <row r="122" spans="19:19" x14ac:dyDescent="0.35">
      <c r="S122" s="1"/>
    </row>
    <row r="123" spans="19:19" x14ac:dyDescent="0.35">
      <c r="S123" s="1"/>
    </row>
    <row r="124" spans="19:19" x14ac:dyDescent="0.35">
      <c r="S124" s="1"/>
    </row>
    <row r="125" spans="19:19" x14ac:dyDescent="0.35">
      <c r="S125" s="1"/>
    </row>
    <row r="126" spans="19:19" x14ac:dyDescent="0.35">
      <c r="S126" s="1"/>
    </row>
    <row r="127" spans="19:19" x14ac:dyDescent="0.35">
      <c r="S127" s="1"/>
    </row>
    <row r="128" spans="19:19" x14ac:dyDescent="0.35">
      <c r="S128" s="1"/>
    </row>
    <row r="129" spans="19:19" x14ac:dyDescent="0.35">
      <c r="S129" s="1"/>
    </row>
    <row r="130" spans="19:19" x14ac:dyDescent="0.35">
      <c r="S130" s="1"/>
    </row>
    <row r="131" spans="19:19" x14ac:dyDescent="0.35">
      <c r="S131" s="1"/>
    </row>
    <row r="132" spans="19:19" x14ac:dyDescent="0.35">
      <c r="S132" s="1"/>
    </row>
    <row r="133" spans="19:19" x14ac:dyDescent="0.35">
      <c r="S133" s="1"/>
    </row>
    <row r="134" spans="19:19" x14ac:dyDescent="0.35">
      <c r="S134" s="1"/>
    </row>
    <row r="135" spans="19:19" x14ac:dyDescent="0.35">
      <c r="S135" s="1"/>
    </row>
    <row r="136" spans="19:19" x14ac:dyDescent="0.35">
      <c r="S136" s="1"/>
    </row>
    <row r="137" spans="19:19" x14ac:dyDescent="0.35">
      <c r="S137" s="1"/>
    </row>
    <row r="138" spans="19:19" x14ac:dyDescent="0.35">
      <c r="S138" s="1"/>
    </row>
    <row r="139" spans="19:19" x14ac:dyDescent="0.35">
      <c r="S139" s="1"/>
    </row>
    <row r="140" spans="19:19" x14ac:dyDescent="0.35">
      <c r="S140" s="1"/>
    </row>
    <row r="141" spans="19:19" x14ac:dyDescent="0.35">
      <c r="S141" s="1"/>
    </row>
    <row r="142" spans="19:19" x14ac:dyDescent="0.35">
      <c r="S142" s="1"/>
    </row>
    <row r="143" spans="19:19" x14ac:dyDescent="0.35">
      <c r="S143" s="1"/>
    </row>
    <row r="144" spans="19:19" x14ac:dyDescent="0.35">
      <c r="S144" s="1"/>
    </row>
    <row r="145" spans="19:19" x14ac:dyDescent="0.35">
      <c r="S145" s="1"/>
    </row>
    <row r="146" spans="19:19" x14ac:dyDescent="0.35">
      <c r="S146" s="1"/>
    </row>
    <row r="147" spans="19:19" x14ac:dyDescent="0.35">
      <c r="S147" s="1"/>
    </row>
    <row r="148" spans="19:19" x14ac:dyDescent="0.35">
      <c r="S148" s="1"/>
    </row>
    <row r="149" spans="19:19" x14ac:dyDescent="0.35">
      <c r="S149" s="1"/>
    </row>
    <row r="150" spans="19:19" x14ac:dyDescent="0.35">
      <c r="S150" s="1"/>
    </row>
    <row r="151" spans="19:19" x14ac:dyDescent="0.35">
      <c r="S151" s="1"/>
    </row>
    <row r="152" spans="19:19" x14ac:dyDescent="0.35">
      <c r="S152" s="1"/>
    </row>
    <row r="153" spans="19:19" x14ac:dyDescent="0.35">
      <c r="S153" s="1"/>
    </row>
    <row r="154" spans="19:19" x14ac:dyDescent="0.35">
      <c r="S154" s="1"/>
    </row>
    <row r="155" spans="19:19" x14ac:dyDescent="0.35">
      <c r="S155" s="1"/>
    </row>
    <row r="156" spans="19:19" x14ac:dyDescent="0.35">
      <c r="S156" s="1"/>
    </row>
    <row r="157" spans="19:19" x14ac:dyDescent="0.35">
      <c r="S157" s="1"/>
    </row>
    <row r="158" spans="19:19" x14ac:dyDescent="0.35">
      <c r="S158" s="1"/>
    </row>
    <row r="159" spans="19:19" x14ac:dyDescent="0.35">
      <c r="S159" s="1"/>
    </row>
    <row r="160" spans="19:19" x14ac:dyDescent="0.35">
      <c r="S160" s="1"/>
    </row>
    <row r="161" spans="19:19" x14ac:dyDescent="0.35">
      <c r="S161" s="1"/>
    </row>
    <row r="162" spans="19:19" x14ac:dyDescent="0.35">
      <c r="S162" s="1"/>
    </row>
    <row r="163" spans="19:19" x14ac:dyDescent="0.35">
      <c r="S163" s="1"/>
    </row>
    <row r="164" spans="19:19" x14ac:dyDescent="0.35">
      <c r="S164" s="1"/>
    </row>
    <row r="165" spans="19:19" x14ac:dyDescent="0.35">
      <c r="S165" s="1"/>
    </row>
    <row r="166" spans="19:19" x14ac:dyDescent="0.35">
      <c r="S166" s="1"/>
    </row>
    <row r="167" spans="19:19" x14ac:dyDescent="0.35">
      <c r="S167" s="1"/>
    </row>
    <row r="168" spans="19:19" x14ac:dyDescent="0.35">
      <c r="S168" s="1"/>
    </row>
    <row r="169" spans="19:19" x14ac:dyDescent="0.35">
      <c r="S169" s="1"/>
    </row>
    <row r="170" spans="19:19" x14ac:dyDescent="0.35">
      <c r="S170" s="1"/>
    </row>
    <row r="171" spans="19:19" x14ac:dyDescent="0.35">
      <c r="S171" s="1"/>
    </row>
    <row r="172" spans="19:19" x14ac:dyDescent="0.35">
      <c r="S172" s="1"/>
    </row>
    <row r="173" spans="19:19" x14ac:dyDescent="0.35">
      <c r="S173" s="1"/>
    </row>
    <row r="174" spans="19:19" x14ac:dyDescent="0.35">
      <c r="S174" s="1"/>
    </row>
    <row r="175" spans="19:19" x14ac:dyDescent="0.35">
      <c r="S175" s="1"/>
    </row>
    <row r="176" spans="19:19" x14ac:dyDescent="0.35">
      <c r="S176" s="1"/>
    </row>
    <row r="177" spans="19:19" x14ac:dyDescent="0.35">
      <c r="S177" s="1"/>
    </row>
    <row r="178" spans="19:19" x14ac:dyDescent="0.35">
      <c r="S178" s="1"/>
    </row>
    <row r="179" spans="19:19" x14ac:dyDescent="0.35">
      <c r="S179" s="1"/>
    </row>
    <row r="180" spans="19:19" x14ac:dyDescent="0.35">
      <c r="S180" s="1"/>
    </row>
    <row r="181" spans="19:19" x14ac:dyDescent="0.35">
      <c r="S181" s="1"/>
    </row>
    <row r="182" spans="19:19" x14ac:dyDescent="0.35">
      <c r="S182" s="1"/>
    </row>
    <row r="183" spans="19:19" x14ac:dyDescent="0.35">
      <c r="S183" s="1"/>
    </row>
    <row r="184" spans="19:19" x14ac:dyDescent="0.35">
      <c r="S184" s="1"/>
    </row>
    <row r="185" spans="19:19" x14ac:dyDescent="0.35">
      <c r="S185" s="1"/>
    </row>
    <row r="186" spans="19:19" x14ac:dyDescent="0.35">
      <c r="S186" s="1"/>
    </row>
    <row r="187" spans="19:19" x14ac:dyDescent="0.35">
      <c r="S187" s="1"/>
    </row>
    <row r="188" spans="19:19" x14ac:dyDescent="0.35">
      <c r="S188" s="1"/>
    </row>
    <row r="189" spans="19:19" x14ac:dyDescent="0.35">
      <c r="S189" s="1"/>
    </row>
    <row r="190" spans="19:19" x14ac:dyDescent="0.35">
      <c r="S190" s="1"/>
    </row>
    <row r="191" spans="19:19" x14ac:dyDescent="0.35">
      <c r="S191" s="1"/>
    </row>
    <row r="192" spans="19:19" x14ac:dyDescent="0.35">
      <c r="S192" s="1"/>
    </row>
    <row r="193" spans="19:19" x14ac:dyDescent="0.35">
      <c r="S193" s="1"/>
    </row>
    <row r="194" spans="19:19" x14ac:dyDescent="0.35">
      <c r="S194" s="1"/>
    </row>
    <row r="195" spans="19:19" x14ac:dyDescent="0.35">
      <c r="S195" s="1"/>
    </row>
    <row r="196" spans="19:19" x14ac:dyDescent="0.35">
      <c r="S196" s="1"/>
    </row>
    <row r="197" spans="19:19" x14ac:dyDescent="0.35">
      <c r="S197" s="1"/>
    </row>
    <row r="198" spans="19:19" x14ac:dyDescent="0.35">
      <c r="S198" s="1"/>
    </row>
    <row r="199" spans="19:19" x14ac:dyDescent="0.35">
      <c r="S199" s="1"/>
    </row>
    <row r="200" spans="19:19" x14ac:dyDescent="0.35">
      <c r="S200" s="1"/>
    </row>
    <row r="201" spans="19:19" x14ac:dyDescent="0.35">
      <c r="S201" s="1"/>
    </row>
    <row r="202" spans="19:19" x14ac:dyDescent="0.35">
      <c r="S202" s="1"/>
    </row>
    <row r="203" spans="19:19" x14ac:dyDescent="0.35">
      <c r="S203" s="1"/>
    </row>
    <row r="204" spans="19:19" x14ac:dyDescent="0.35">
      <c r="S204" s="1"/>
    </row>
    <row r="205" spans="19:19" x14ac:dyDescent="0.35">
      <c r="S205" s="1"/>
    </row>
    <row r="206" spans="19:19" x14ac:dyDescent="0.35">
      <c r="S206" s="1"/>
    </row>
    <row r="207" spans="19:19" x14ac:dyDescent="0.35">
      <c r="S207" s="1"/>
    </row>
    <row r="208" spans="19:19" x14ac:dyDescent="0.35">
      <c r="S208" s="1"/>
    </row>
    <row r="209" spans="19:19" x14ac:dyDescent="0.35">
      <c r="S209" s="1"/>
    </row>
    <row r="210" spans="19:19" x14ac:dyDescent="0.35">
      <c r="S210" s="1"/>
    </row>
    <row r="211" spans="19:19" x14ac:dyDescent="0.35">
      <c r="S211" s="1"/>
    </row>
    <row r="212" spans="19:19" x14ac:dyDescent="0.35">
      <c r="S212" s="1"/>
    </row>
    <row r="213" spans="19:19" x14ac:dyDescent="0.35">
      <c r="S213" s="1"/>
    </row>
    <row r="214" spans="19:19" x14ac:dyDescent="0.35">
      <c r="S214" s="1"/>
    </row>
    <row r="215" spans="19:19" x14ac:dyDescent="0.35">
      <c r="S215" s="1"/>
    </row>
    <row r="216" spans="19:19" x14ac:dyDescent="0.35">
      <c r="S216" s="1"/>
    </row>
    <row r="217" spans="19:19" x14ac:dyDescent="0.35">
      <c r="S217" s="1"/>
    </row>
    <row r="218" spans="19:19" x14ac:dyDescent="0.35">
      <c r="S218" s="1"/>
    </row>
    <row r="219" spans="19:19" x14ac:dyDescent="0.35">
      <c r="S219" s="1"/>
    </row>
    <row r="220" spans="19:19" x14ac:dyDescent="0.35">
      <c r="S220" s="1"/>
    </row>
    <row r="221" spans="19:19" x14ac:dyDescent="0.35">
      <c r="S221" s="1"/>
    </row>
    <row r="222" spans="19:19" x14ac:dyDescent="0.35">
      <c r="S222" s="1"/>
    </row>
    <row r="223" spans="19:19" x14ac:dyDescent="0.35">
      <c r="S223" s="1"/>
    </row>
    <row r="224" spans="19:19" x14ac:dyDescent="0.35">
      <c r="S224" s="1"/>
    </row>
    <row r="225" spans="19:19" x14ac:dyDescent="0.35">
      <c r="S225" s="1"/>
    </row>
    <row r="226" spans="19:19" x14ac:dyDescent="0.35">
      <c r="S226" s="1"/>
    </row>
    <row r="227" spans="19:19" x14ac:dyDescent="0.35">
      <c r="S227" s="1"/>
    </row>
    <row r="228" spans="19:19" x14ac:dyDescent="0.35">
      <c r="S228" s="1"/>
    </row>
    <row r="229" spans="19:19" x14ac:dyDescent="0.35">
      <c r="S229" s="1"/>
    </row>
    <row r="230" spans="19:19" x14ac:dyDescent="0.35">
      <c r="S230" s="1"/>
    </row>
    <row r="231" spans="19:19" x14ac:dyDescent="0.35">
      <c r="S231" s="1"/>
    </row>
    <row r="232" spans="19:19" x14ac:dyDescent="0.35">
      <c r="S232" s="1"/>
    </row>
    <row r="233" spans="19:19" x14ac:dyDescent="0.35">
      <c r="S233" s="1"/>
    </row>
    <row r="234" spans="19:19" x14ac:dyDescent="0.35">
      <c r="S234" s="1"/>
    </row>
    <row r="235" spans="19:19" x14ac:dyDescent="0.35">
      <c r="S235" s="1"/>
    </row>
    <row r="236" spans="19:19" x14ac:dyDescent="0.35">
      <c r="S236" s="1"/>
    </row>
    <row r="237" spans="19:19" x14ac:dyDescent="0.35">
      <c r="S237" s="1"/>
    </row>
    <row r="238" spans="19:19" x14ac:dyDescent="0.35">
      <c r="S238" s="1"/>
    </row>
    <row r="239" spans="19:19" x14ac:dyDescent="0.35">
      <c r="S239" s="1"/>
    </row>
    <row r="240" spans="19:19" x14ac:dyDescent="0.35">
      <c r="S240" s="1"/>
    </row>
    <row r="241" spans="19:19" x14ac:dyDescent="0.35">
      <c r="S241" s="1"/>
    </row>
    <row r="242" spans="19:19" x14ac:dyDescent="0.35">
      <c r="S242" s="1"/>
    </row>
    <row r="243" spans="19:19" x14ac:dyDescent="0.35">
      <c r="S243" s="1"/>
    </row>
    <row r="244" spans="19:19" x14ac:dyDescent="0.35">
      <c r="S244" s="1"/>
    </row>
    <row r="245" spans="19:19" x14ac:dyDescent="0.35">
      <c r="S245" s="1"/>
    </row>
    <row r="246" spans="19:19" x14ac:dyDescent="0.35">
      <c r="S246" s="1"/>
    </row>
    <row r="247" spans="19:19" x14ac:dyDescent="0.35">
      <c r="S247" s="1"/>
    </row>
    <row r="248" spans="19:19" x14ac:dyDescent="0.35">
      <c r="S248" s="1"/>
    </row>
    <row r="249" spans="19:19" x14ac:dyDescent="0.35">
      <c r="S249" s="1"/>
    </row>
    <row r="250" spans="19:19" x14ac:dyDescent="0.35">
      <c r="S250" s="1"/>
    </row>
    <row r="251" spans="19:19" x14ac:dyDescent="0.35">
      <c r="S251" s="1"/>
    </row>
    <row r="252" spans="19:19" x14ac:dyDescent="0.35">
      <c r="S252" s="1"/>
    </row>
    <row r="253" spans="19:19" x14ac:dyDescent="0.35">
      <c r="S253" s="1"/>
    </row>
    <row r="254" spans="19:19" x14ac:dyDescent="0.35">
      <c r="S254" s="1"/>
    </row>
    <row r="255" spans="19:19" x14ac:dyDescent="0.35">
      <c r="S255" s="1"/>
    </row>
    <row r="256" spans="19:19" x14ac:dyDescent="0.35">
      <c r="S256" s="1"/>
    </row>
    <row r="257" spans="19:19" x14ac:dyDescent="0.35">
      <c r="S257" s="1"/>
    </row>
    <row r="258" spans="19:19" x14ac:dyDescent="0.35">
      <c r="S258" s="1"/>
    </row>
    <row r="259" spans="19:19" x14ac:dyDescent="0.35">
      <c r="S259" s="1"/>
    </row>
    <row r="260" spans="19:19" x14ac:dyDescent="0.35">
      <c r="S260" s="1"/>
    </row>
    <row r="261" spans="19:19" x14ac:dyDescent="0.35">
      <c r="S261" s="1"/>
    </row>
    <row r="262" spans="19:19" x14ac:dyDescent="0.35">
      <c r="S262" s="1"/>
    </row>
    <row r="263" spans="19:19" x14ac:dyDescent="0.35">
      <c r="S263" s="1"/>
    </row>
    <row r="264" spans="19:19" x14ac:dyDescent="0.35">
      <c r="S264" s="1"/>
    </row>
    <row r="265" spans="19:19" x14ac:dyDescent="0.35">
      <c r="S265" s="1"/>
    </row>
    <row r="266" spans="19:19" x14ac:dyDescent="0.35">
      <c r="S266" s="1"/>
    </row>
    <row r="267" spans="19:19" x14ac:dyDescent="0.35">
      <c r="S267" s="1"/>
    </row>
    <row r="268" spans="19:19" x14ac:dyDescent="0.35">
      <c r="S268" s="1"/>
    </row>
    <row r="269" spans="19:19" x14ac:dyDescent="0.35">
      <c r="S269" s="1"/>
    </row>
    <row r="270" spans="19:19" x14ac:dyDescent="0.35">
      <c r="S270" s="1"/>
    </row>
    <row r="271" spans="19:19" x14ac:dyDescent="0.35">
      <c r="S271" s="1"/>
    </row>
    <row r="272" spans="19:19" x14ac:dyDescent="0.35">
      <c r="S272" s="1"/>
    </row>
    <row r="273" spans="19:19" x14ac:dyDescent="0.35">
      <c r="S273" s="1"/>
    </row>
    <row r="274" spans="19:19" x14ac:dyDescent="0.35">
      <c r="S274" s="1"/>
    </row>
    <row r="275" spans="19:19" x14ac:dyDescent="0.35">
      <c r="S275" s="1"/>
    </row>
    <row r="276" spans="19:19" x14ac:dyDescent="0.35">
      <c r="S276" s="1"/>
    </row>
    <row r="277" spans="19:19" x14ac:dyDescent="0.35">
      <c r="S277" s="1"/>
    </row>
    <row r="278" spans="19:19" x14ac:dyDescent="0.35">
      <c r="S278" s="1"/>
    </row>
    <row r="279" spans="19:19" x14ac:dyDescent="0.35">
      <c r="S279" s="1"/>
    </row>
    <row r="280" spans="19:19" x14ac:dyDescent="0.35">
      <c r="S280" s="1"/>
    </row>
    <row r="281" spans="19:19" x14ac:dyDescent="0.35">
      <c r="S281" s="1"/>
    </row>
    <row r="282" spans="19:19" x14ac:dyDescent="0.35">
      <c r="S282" s="1"/>
    </row>
    <row r="283" spans="19:19" x14ac:dyDescent="0.35">
      <c r="S283" s="1"/>
    </row>
    <row r="284" spans="19:19" x14ac:dyDescent="0.35">
      <c r="S284" s="1"/>
    </row>
    <row r="285" spans="19:19" x14ac:dyDescent="0.35">
      <c r="S285" s="1"/>
    </row>
    <row r="286" spans="19:19" x14ac:dyDescent="0.35">
      <c r="S286" s="1"/>
    </row>
    <row r="287" spans="19:19" x14ac:dyDescent="0.35">
      <c r="S287" s="1"/>
    </row>
    <row r="288" spans="19:19" x14ac:dyDescent="0.35">
      <c r="S288" s="1"/>
    </row>
    <row r="289" spans="19:19" x14ac:dyDescent="0.35">
      <c r="S289" s="1"/>
    </row>
    <row r="290" spans="19:19" x14ac:dyDescent="0.35">
      <c r="S290" s="1"/>
    </row>
    <row r="291" spans="19:19" x14ac:dyDescent="0.35">
      <c r="S291" s="1"/>
    </row>
    <row r="292" spans="19:19" x14ac:dyDescent="0.35">
      <c r="S292" s="1"/>
    </row>
    <row r="293" spans="19:19" x14ac:dyDescent="0.35">
      <c r="S293" s="1"/>
    </row>
    <row r="294" spans="19:19" x14ac:dyDescent="0.35">
      <c r="S294" s="1"/>
    </row>
    <row r="295" spans="19:19" x14ac:dyDescent="0.35">
      <c r="S295" s="1"/>
    </row>
    <row r="296" spans="19:19" x14ac:dyDescent="0.35">
      <c r="S296" s="1"/>
    </row>
    <row r="297" spans="19:19" x14ac:dyDescent="0.35">
      <c r="S297" s="1"/>
    </row>
    <row r="298" spans="19:19" x14ac:dyDescent="0.35">
      <c r="S298" s="1"/>
    </row>
    <row r="299" spans="19:19" x14ac:dyDescent="0.35">
      <c r="S299" s="1"/>
    </row>
    <row r="300" spans="19:19" x14ac:dyDescent="0.35">
      <c r="S300" s="1"/>
    </row>
    <row r="301" spans="19:19" x14ac:dyDescent="0.35">
      <c r="S301" s="1"/>
    </row>
    <row r="302" spans="19:19" x14ac:dyDescent="0.35">
      <c r="S302" s="1"/>
    </row>
    <row r="303" spans="19:19" x14ac:dyDescent="0.35">
      <c r="S303" s="1"/>
    </row>
    <row r="304" spans="19:19" x14ac:dyDescent="0.35">
      <c r="S304" s="1"/>
    </row>
    <row r="305" spans="19:19" x14ac:dyDescent="0.35">
      <c r="S305" s="1"/>
    </row>
    <row r="306" spans="19:19" x14ac:dyDescent="0.35">
      <c r="S306" s="1"/>
    </row>
    <row r="307" spans="19:19" x14ac:dyDescent="0.35">
      <c r="S307" s="1"/>
    </row>
    <row r="308" spans="19:19" x14ac:dyDescent="0.35">
      <c r="S308" s="1"/>
    </row>
    <row r="309" spans="19:19" x14ac:dyDescent="0.35">
      <c r="S309" s="1"/>
    </row>
    <row r="310" spans="19:19" x14ac:dyDescent="0.35">
      <c r="S310" s="1"/>
    </row>
    <row r="311" spans="19:19" x14ac:dyDescent="0.35">
      <c r="S311" s="1"/>
    </row>
    <row r="312" spans="19:19" x14ac:dyDescent="0.35">
      <c r="S312" s="1"/>
    </row>
    <row r="313" spans="19:19" x14ac:dyDescent="0.35">
      <c r="S313" s="1"/>
    </row>
    <row r="314" spans="19:19" x14ac:dyDescent="0.35">
      <c r="S314" s="1"/>
    </row>
    <row r="315" spans="19:19" x14ac:dyDescent="0.35">
      <c r="S315" s="1"/>
    </row>
    <row r="316" spans="19:19" x14ac:dyDescent="0.35">
      <c r="S316" s="1"/>
    </row>
    <row r="317" spans="19:19" x14ac:dyDescent="0.35">
      <c r="S317" s="1"/>
    </row>
    <row r="318" spans="19:19" x14ac:dyDescent="0.35">
      <c r="S318" s="1"/>
    </row>
    <row r="319" spans="19:19" x14ac:dyDescent="0.35">
      <c r="S319" s="1"/>
    </row>
    <row r="320" spans="19:19" x14ac:dyDescent="0.35">
      <c r="S320" s="1"/>
    </row>
    <row r="321" spans="19:19" x14ac:dyDescent="0.35">
      <c r="S321" s="1"/>
    </row>
    <row r="322" spans="19:19" x14ac:dyDescent="0.35">
      <c r="S322" s="1"/>
    </row>
    <row r="323" spans="19:19" x14ac:dyDescent="0.35">
      <c r="S323" s="1"/>
    </row>
    <row r="324" spans="19:19" x14ac:dyDescent="0.35">
      <c r="S324" s="1"/>
    </row>
    <row r="325" spans="19:19" x14ac:dyDescent="0.35">
      <c r="S325" s="1"/>
    </row>
    <row r="326" spans="19:19" x14ac:dyDescent="0.35">
      <c r="S326" s="1"/>
    </row>
    <row r="327" spans="19:19" x14ac:dyDescent="0.35">
      <c r="S327" s="1"/>
    </row>
    <row r="328" spans="19:19" x14ac:dyDescent="0.35">
      <c r="S328" s="1"/>
    </row>
    <row r="329" spans="19:19" x14ac:dyDescent="0.35">
      <c r="S329" s="1"/>
    </row>
    <row r="330" spans="19:19" x14ac:dyDescent="0.35">
      <c r="S330" s="1"/>
    </row>
    <row r="331" spans="19:19" x14ac:dyDescent="0.35">
      <c r="S331" s="1"/>
    </row>
    <row r="332" spans="19:19" x14ac:dyDescent="0.35">
      <c r="S332" s="1"/>
    </row>
    <row r="333" spans="19:19" x14ac:dyDescent="0.35">
      <c r="S333" s="1"/>
    </row>
    <row r="334" spans="19:19" x14ac:dyDescent="0.35">
      <c r="S334" s="1"/>
    </row>
    <row r="335" spans="19:19" x14ac:dyDescent="0.35">
      <c r="S335" s="1"/>
    </row>
    <row r="336" spans="19:19" x14ac:dyDescent="0.35">
      <c r="S336" s="1"/>
    </row>
    <row r="337" spans="19:19" x14ac:dyDescent="0.35">
      <c r="S337" s="1"/>
    </row>
    <row r="338" spans="19:19" x14ac:dyDescent="0.35">
      <c r="S338" s="1"/>
    </row>
    <row r="339" spans="19:19" x14ac:dyDescent="0.35">
      <c r="S339" s="1"/>
    </row>
    <row r="340" spans="19:19" x14ac:dyDescent="0.35">
      <c r="S340" s="1"/>
    </row>
    <row r="341" spans="19:19" x14ac:dyDescent="0.35">
      <c r="S341" s="1"/>
    </row>
    <row r="342" spans="19:19" x14ac:dyDescent="0.35">
      <c r="S342" s="1"/>
    </row>
    <row r="343" spans="19:19" x14ac:dyDescent="0.35">
      <c r="S343" s="1"/>
    </row>
    <row r="344" spans="19:19" x14ac:dyDescent="0.35">
      <c r="S344" s="1"/>
    </row>
    <row r="345" spans="19:19" x14ac:dyDescent="0.35">
      <c r="S345" s="1"/>
    </row>
    <row r="346" spans="19:19" x14ac:dyDescent="0.35">
      <c r="S346" s="1"/>
    </row>
    <row r="347" spans="19:19" x14ac:dyDescent="0.35">
      <c r="S347" s="1"/>
    </row>
    <row r="348" spans="19:19" x14ac:dyDescent="0.35">
      <c r="S348" s="1"/>
    </row>
    <row r="349" spans="19:19" x14ac:dyDescent="0.35">
      <c r="S349" s="1"/>
    </row>
    <row r="350" spans="19:19" x14ac:dyDescent="0.35">
      <c r="S350" s="1"/>
    </row>
    <row r="351" spans="19:19" x14ac:dyDescent="0.35">
      <c r="S351" s="1"/>
    </row>
    <row r="352" spans="19:19" x14ac:dyDescent="0.35">
      <c r="S352" s="1"/>
    </row>
    <row r="353" spans="19:19" x14ac:dyDescent="0.35">
      <c r="S353" s="1"/>
    </row>
    <row r="354" spans="19:19" x14ac:dyDescent="0.35">
      <c r="S354" s="1"/>
    </row>
    <row r="355" spans="19:19" x14ac:dyDescent="0.35">
      <c r="S355" s="1"/>
    </row>
    <row r="356" spans="19:19" x14ac:dyDescent="0.35">
      <c r="S356" s="1"/>
    </row>
    <row r="357" spans="19:19" x14ac:dyDescent="0.35">
      <c r="S357" s="1"/>
    </row>
    <row r="358" spans="19:19" x14ac:dyDescent="0.35">
      <c r="S358" s="1"/>
    </row>
    <row r="359" spans="19:19" x14ac:dyDescent="0.35">
      <c r="S359" s="1"/>
    </row>
    <row r="360" spans="19:19" x14ac:dyDescent="0.35">
      <c r="S360" s="1"/>
    </row>
    <row r="361" spans="19:19" x14ac:dyDescent="0.35">
      <c r="S361" s="1"/>
    </row>
    <row r="362" spans="19:19" x14ac:dyDescent="0.35">
      <c r="S362" s="1"/>
    </row>
    <row r="363" spans="19:19" x14ac:dyDescent="0.35">
      <c r="S363" s="1"/>
    </row>
    <row r="364" spans="19:19" x14ac:dyDescent="0.35">
      <c r="S364" s="1"/>
    </row>
    <row r="365" spans="19:19" x14ac:dyDescent="0.35">
      <c r="S365" s="1"/>
    </row>
    <row r="366" spans="19:19" x14ac:dyDescent="0.35">
      <c r="S366" s="1"/>
    </row>
    <row r="367" spans="19:19" x14ac:dyDescent="0.35">
      <c r="S367" s="1"/>
    </row>
    <row r="368" spans="19:19" x14ac:dyDescent="0.35">
      <c r="S368" s="1"/>
    </row>
    <row r="369" spans="19:19" x14ac:dyDescent="0.35">
      <c r="S369" s="1"/>
    </row>
    <row r="370" spans="19:19" x14ac:dyDescent="0.35">
      <c r="S370" s="1"/>
    </row>
    <row r="371" spans="19:19" x14ac:dyDescent="0.35">
      <c r="S371" s="1"/>
    </row>
    <row r="372" spans="19:19" x14ac:dyDescent="0.35">
      <c r="S372" s="1"/>
    </row>
    <row r="373" spans="19:19" x14ac:dyDescent="0.35">
      <c r="S373" s="1"/>
    </row>
    <row r="374" spans="19:19" x14ac:dyDescent="0.35">
      <c r="S374" s="1"/>
    </row>
    <row r="375" spans="19:19" x14ac:dyDescent="0.35">
      <c r="S375" s="1"/>
    </row>
    <row r="376" spans="19:19" x14ac:dyDescent="0.35">
      <c r="S376" s="1"/>
    </row>
    <row r="377" spans="19:19" x14ac:dyDescent="0.35">
      <c r="S377" s="1"/>
    </row>
    <row r="378" spans="19:19" x14ac:dyDescent="0.35">
      <c r="S378" s="1"/>
    </row>
    <row r="379" spans="19:19" x14ac:dyDescent="0.35">
      <c r="S379" s="1"/>
    </row>
    <row r="380" spans="19:19" x14ac:dyDescent="0.35">
      <c r="S380" s="1"/>
    </row>
    <row r="381" spans="19:19" x14ac:dyDescent="0.35">
      <c r="S381" s="1"/>
    </row>
    <row r="382" spans="19:19" x14ac:dyDescent="0.35">
      <c r="S382" s="1"/>
    </row>
    <row r="383" spans="19:19" x14ac:dyDescent="0.35">
      <c r="S383" s="1"/>
    </row>
    <row r="384" spans="19:19" x14ac:dyDescent="0.35">
      <c r="S384" s="1"/>
    </row>
    <row r="385" spans="19:19" x14ac:dyDescent="0.35">
      <c r="S385" s="1"/>
    </row>
    <row r="386" spans="19:19" x14ac:dyDescent="0.35">
      <c r="S386" s="1"/>
    </row>
    <row r="387" spans="19:19" x14ac:dyDescent="0.35">
      <c r="S387" s="1"/>
    </row>
    <row r="388" spans="19:19" x14ac:dyDescent="0.35">
      <c r="S388" s="1"/>
    </row>
    <row r="389" spans="19:19" x14ac:dyDescent="0.35">
      <c r="S389" s="1"/>
    </row>
    <row r="390" spans="19:19" x14ac:dyDescent="0.35">
      <c r="S390" s="1"/>
    </row>
    <row r="391" spans="19:19" x14ac:dyDescent="0.35">
      <c r="S391" s="1"/>
    </row>
    <row r="392" spans="19:19" x14ac:dyDescent="0.35">
      <c r="S392" s="1"/>
    </row>
    <row r="393" spans="19:19" x14ac:dyDescent="0.35">
      <c r="S393" s="1"/>
    </row>
    <row r="394" spans="19:19" x14ac:dyDescent="0.35">
      <c r="S394" s="1"/>
    </row>
    <row r="395" spans="19:19" x14ac:dyDescent="0.35">
      <c r="S395" s="1"/>
    </row>
    <row r="396" spans="19:19" x14ac:dyDescent="0.35">
      <c r="S396" s="1"/>
    </row>
    <row r="397" spans="19:19" x14ac:dyDescent="0.35">
      <c r="S397" s="1"/>
    </row>
    <row r="398" spans="19:19" x14ac:dyDescent="0.35">
      <c r="S398" s="1"/>
    </row>
    <row r="399" spans="19:19" x14ac:dyDescent="0.35">
      <c r="S399" s="1"/>
    </row>
    <row r="400" spans="19:19" x14ac:dyDescent="0.35">
      <c r="S400" s="1"/>
    </row>
    <row r="401" spans="19:19" x14ac:dyDescent="0.35">
      <c r="S401" s="1"/>
    </row>
    <row r="402" spans="19:19" x14ac:dyDescent="0.35">
      <c r="S402" s="1"/>
    </row>
    <row r="403" spans="19:19" x14ac:dyDescent="0.35">
      <c r="S403" s="1"/>
    </row>
    <row r="404" spans="19:19" x14ac:dyDescent="0.35">
      <c r="S404" s="1"/>
    </row>
    <row r="405" spans="19:19" x14ac:dyDescent="0.35">
      <c r="S405" s="1"/>
    </row>
    <row r="406" spans="19:19" x14ac:dyDescent="0.35">
      <c r="S406" s="1"/>
    </row>
    <row r="407" spans="19:19" x14ac:dyDescent="0.35">
      <c r="S407" s="1"/>
    </row>
    <row r="408" spans="19:19" x14ac:dyDescent="0.35">
      <c r="S408" s="1"/>
    </row>
    <row r="409" spans="19:19" x14ac:dyDescent="0.35">
      <c r="S409" s="1"/>
    </row>
    <row r="410" spans="19:19" x14ac:dyDescent="0.35">
      <c r="S410" s="1"/>
    </row>
    <row r="411" spans="19:19" x14ac:dyDescent="0.35">
      <c r="S411" s="1"/>
    </row>
    <row r="412" spans="19:19" x14ac:dyDescent="0.35">
      <c r="S412" s="1"/>
    </row>
    <row r="413" spans="19:19" x14ac:dyDescent="0.35">
      <c r="S413" s="1"/>
    </row>
    <row r="414" spans="19:19" x14ac:dyDescent="0.35">
      <c r="S414" s="1"/>
    </row>
    <row r="415" spans="19:19" x14ac:dyDescent="0.35">
      <c r="S415" s="1"/>
    </row>
    <row r="416" spans="19:19" x14ac:dyDescent="0.35">
      <c r="S416" s="1"/>
    </row>
    <row r="417" spans="19:19" x14ac:dyDescent="0.35">
      <c r="S417" s="1"/>
    </row>
    <row r="418" spans="19:19" x14ac:dyDescent="0.35">
      <c r="S418" s="1"/>
    </row>
    <row r="419" spans="19:19" x14ac:dyDescent="0.35">
      <c r="S419" s="1"/>
    </row>
    <row r="420" spans="19:19" x14ac:dyDescent="0.35">
      <c r="S420" s="1"/>
    </row>
    <row r="421" spans="19:19" x14ac:dyDescent="0.35">
      <c r="S421" s="1"/>
    </row>
    <row r="422" spans="19:19" x14ac:dyDescent="0.35">
      <c r="S422" s="1"/>
    </row>
    <row r="423" spans="19:19" x14ac:dyDescent="0.35">
      <c r="S423" s="1"/>
    </row>
    <row r="424" spans="19:19" x14ac:dyDescent="0.35">
      <c r="S424" s="1"/>
    </row>
    <row r="425" spans="19:19" x14ac:dyDescent="0.35">
      <c r="S425" s="1"/>
    </row>
    <row r="426" spans="19:19" x14ac:dyDescent="0.35">
      <c r="S426" s="1"/>
    </row>
    <row r="427" spans="19:19" x14ac:dyDescent="0.35">
      <c r="S427" s="1"/>
    </row>
    <row r="428" spans="19:19" x14ac:dyDescent="0.35">
      <c r="S428" s="1"/>
    </row>
    <row r="429" spans="19:19" x14ac:dyDescent="0.35">
      <c r="S429" s="1"/>
    </row>
    <row r="430" spans="19:19" x14ac:dyDescent="0.35">
      <c r="S430" s="1"/>
    </row>
    <row r="431" spans="19:19" x14ac:dyDescent="0.35">
      <c r="S431" s="1"/>
    </row>
    <row r="432" spans="19:19" x14ac:dyDescent="0.35">
      <c r="S432" s="1"/>
    </row>
    <row r="433" spans="19:19" x14ac:dyDescent="0.35">
      <c r="S433" s="1"/>
    </row>
    <row r="434" spans="19:19" x14ac:dyDescent="0.35">
      <c r="S434" s="1"/>
    </row>
    <row r="435" spans="19:19" x14ac:dyDescent="0.35">
      <c r="S435" s="1"/>
    </row>
    <row r="436" spans="19:19" x14ac:dyDescent="0.35">
      <c r="S436" s="1"/>
    </row>
    <row r="437" spans="19:19" x14ac:dyDescent="0.35">
      <c r="S437" s="1"/>
    </row>
    <row r="438" spans="19:19" x14ac:dyDescent="0.35">
      <c r="S438" s="1"/>
    </row>
    <row r="439" spans="19:19" x14ac:dyDescent="0.35">
      <c r="S439" s="1"/>
    </row>
    <row r="440" spans="19:19" x14ac:dyDescent="0.35">
      <c r="S440" s="1"/>
    </row>
    <row r="441" spans="19:19" x14ac:dyDescent="0.35">
      <c r="S441" s="1"/>
    </row>
    <row r="442" spans="19:19" x14ac:dyDescent="0.35">
      <c r="S442" s="1"/>
    </row>
    <row r="443" spans="19:19" x14ac:dyDescent="0.35">
      <c r="S443" s="1"/>
    </row>
    <row r="444" spans="19:19" x14ac:dyDescent="0.35">
      <c r="S444" s="1"/>
    </row>
    <row r="445" spans="19:19" x14ac:dyDescent="0.35">
      <c r="S445" s="1"/>
    </row>
    <row r="446" spans="19:19" x14ac:dyDescent="0.35">
      <c r="S446" s="1"/>
    </row>
    <row r="447" spans="19:19" x14ac:dyDescent="0.35">
      <c r="S447" s="1"/>
    </row>
    <row r="448" spans="19:19" x14ac:dyDescent="0.35">
      <c r="S448" s="1"/>
    </row>
    <row r="449" spans="19:19" x14ac:dyDescent="0.35">
      <c r="S449" s="1"/>
    </row>
    <row r="450" spans="19:19" x14ac:dyDescent="0.35">
      <c r="S450" s="1"/>
    </row>
    <row r="451" spans="19:19" x14ac:dyDescent="0.35">
      <c r="S451" s="1"/>
    </row>
    <row r="452" spans="19:19" x14ac:dyDescent="0.35">
      <c r="S452" s="1"/>
    </row>
    <row r="453" spans="19:19" x14ac:dyDescent="0.35">
      <c r="S453" s="1"/>
    </row>
    <row r="454" spans="19:19" x14ac:dyDescent="0.35">
      <c r="S454" s="1"/>
    </row>
    <row r="455" spans="19:19" x14ac:dyDescent="0.35">
      <c r="S455" s="1"/>
    </row>
    <row r="456" spans="19:19" x14ac:dyDescent="0.35">
      <c r="S456" s="1"/>
    </row>
    <row r="457" spans="19:19" x14ac:dyDescent="0.35">
      <c r="S457" s="1"/>
    </row>
    <row r="458" spans="19:19" x14ac:dyDescent="0.35">
      <c r="S458" s="1"/>
    </row>
    <row r="459" spans="19:19" x14ac:dyDescent="0.35">
      <c r="S459" s="1"/>
    </row>
    <row r="460" spans="19:19" x14ac:dyDescent="0.35">
      <c r="S460" s="1"/>
    </row>
    <row r="461" spans="19:19" x14ac:dyDescent="0.35">
      <c r="S461" s="1"/>
    </row>
    <row r="462" spans="19:19" x14ac:dyDescent="0.35">
      <c r="S462" s="1"/>
    </row>
    <row r="463" spans="19:19" x14ac:dyDescent="0.35">
      <c r="S463" s="1"/>
    </row>
    <row r="464" spans="19:19" x14ac:dyDescent="0.35">
      <c r="S464" s="1"/>
    </row>
    <row r="465" spans="19:19" x14ac:dyDescent="0.35">
      <c r="S465" s="1"/>
    </row>
    <row r="466" spans="19:19" x14ac:dyDescent="0.35">
      <c r="S466" s="1"/>
    </row>
    <row r="467" spans="19:19" x14ac:dyDescent="0.35">
      <c r="S467" s="1"/>
    </row>
    <row r="468" spans="19:19" x14ac:dyDescent="0.35">
      <c r="S468" s="1"/>
    </row>
    <row r="469" spans="19:19" x14ac:dyDescent="0.35">
      <c r="S469" s="1"/>
    </row>
    <row r="470" spans="19:19" x14ac:dyDescent="0.35">
      <c r="S470" s="1"/>
    </row>
    <row r="471" spans="19:19" x14ac:dyDescent="0.35">
      <c r="S471" s="1"/>
    </row>
    <row r="472" spans="19:19" x14ac:dyDescent="0.35">
      <c r="S472" s="1"/>
    </row>
    <row r="473" spans="19:19" x14ac:dyDescent="0.35">
      <c r="S473" s="1"/>
    </row>
    <row r="474" spans="19:19" x14ac:dyDescent="0.35">
      <c r="S474" s="1"/>
    </row>
    <row r="475" spans="19:19" x14ac:dyDescent="0.35">
      <c r="S475" s="1"/>
    </row>
    <row r="476" spans="19:19" x14ac:dyDescent="0.35">
      <c r="S476" s="1"/>
    </row>
    <row r="477" spans="19:19" x14ac:dyDescent="0.35">
      <c r="S477" s="1"/>
    </row>
    <row r="478" spans="19:19" x14ac:dyDescent="0.35">
      <c r="S478" s="1"/>
    </row>
    <row r="479" spans="19:19" x14ac:dyDescent="0.35">
      <c r="S479" s="1"/>
    </row>
    <row r="480" spans="19:19" x14ac:dyDescent="0.35">
      <c r="S480" s="1"/>
    </row>
    <row r="481" spans="19:19" x14ac:dyDescent="0.35">
      <c r="S481" s="1"/>
    </row>
    <row r="482" spans="19:19" x14ac:dyDescent="0.35">
      <c r="S482" s="1"/>
    </row>
    <row r="483" spans="19:19" x14ac:dyDescent="0.35">
      <c r="S483" s="1"/>
    </row>
    <row r="484" spans="19:19" x14ac:dyDescent="0.35">
      <c r="S484" s="1"/>
    </row>
    <row r="485" spans="19:19" x14ac:dyDescent="0.35">
      <c r="S485" s="1"/>
    </row>
    <row r="486" spans="19:19" x14ac:dyDescent="0.35">
      <c r="S486" s="1"/>
    </row>
    <row r="487" spans="19:19" x14ac:dyDescent="0.35">
      <c r="S487" s="1"/>
    </row>
    <row r="488" spans="19:19" x14ac:dyDescent="0.35">
      <c r="S488" s="1"/>
    </row>
    <row r="489" spans="19:19" x14ac:dyDescent="0.35">
      <c r="S489" s="1"/>
    </row>
    <row r="490" spans="19:19" x14ac:dyDescent="0.35">
      <c r="S490" s="1"/>
    </row>
    <row r="491" spans="19:19" x14ac:dyDescent="0.35">
      <c r="S491" s="1"/>
    </row>
    <row r="492" spans="19:19" x14ac:dyDescent="0.35">
      <c r="S492" s="1"/>
    </row>
    <row r="493" spans="19:19" x14ac:dyDescent="0.35">
      <c r="S493" s="1"/>
    </row>
    <row r="494" spans="19:19" x14ac:dyDescent="0.35">
      <c r="S494" s="1"/>
    </row>
    <row r="495" spans="19:19" x14ac:dyDescent="0.35">
      <c r="S495" s="1"/>
    </row>
    <row r="496" spans="19:19" x14ac:dyDescent="0.35">
      <c r="S496" s="1"/>
    </row>
    <row r="497" spans="19:19" x14ac:dyDescent="0.35">
      <c r="S497" s="1"/>
    </row>
    <row r="498" spans="19:19" x14ac:dyDescent="0.35">
      <c r="S498" s="1"/>
    </row>
    <row r="499" spans="19:19" x14ac:dyDescent="0.35">
      <c r="S499" s="1"/>
    </row>
    <row r="500" spans="19:19" x14ac:dyDescent="0.35">
      <c r="S500" s="1"/>
    </row>
    <row r="501" spans="19:19" x14ac:dyDescent="0.35">
      <c r="S501" s="1"/>
    </row>
    <row r="502" spans="19:19" x14ac:dyDescent="0.35">
      <c r="S502" s="1"/>
    </row>
    <row r="503" spans="19:19" x14ac:dyDescent="0.35">
      <c r="S503" s="1"/>
    </row>
    <row r="504" spans="19:19" x14ac:dyDescent="0.35">
      <c r="S504" s="1"/>
    </row>
    <row r="505" spans="19:19" x14ac:dyDescent="0.35">
      <c r="S505" s="1"/>
    </row>
    <row r="506" spans="19:19" x14ac:dyDescent="0.35">
      <c r="S506" s="1"/>
    </row>
    <row r="507" spans="19:19" x14ac:dyDescent="0.35">
      <c r="S507" s="1"/>
    </row>
    <row r="508" spans="19:19" x14ac:dyDescent="0.35">
      <c r="S508" s="1"/>
    </row>
    <row r="509" spans="19:19" x14ac:dyDescent="0.35">
      <c r="S509" s="1"/>
    </row>
    <row r="510" spans="19:19" x14ac:dyDescent="0.35">
      <c r="S510" s="1"/>
    </row>
    <row r="511" spans="19:19" x14ac:dyDescent="0.35">
      <c r="S511" s="1"/>
    </row>
    <row r="512" spans="19:19" x14ac:dyDescent="0.35">
      <c r="S512" s="1"/>
    </row>
    <row r="513" spans="19:19" x14ac:dyDescent="0.35">
      <c r="S513" s="1"/>
    </row>
    <row r="514" spans="19:19" x14ac:dyDescent="0.35">
      <c r="S514" s="1"/>
    </row>
    <row r="515" spans="19:19" x14ac:dyDescent="0.35">
      <c r="S515" s="1"/>
    </row>
    <row r="516" spans="19:19" x14ac:dyDescent="0.35">
      <c r="S516" s="1"/>
    </row>
    <row r="517" spans="19:19" x14ac:dyDescent="0.35">
      <c r="S517" s="1"/>
    </row>
    <row r="518" spans="19:19" x14ac:dyDescent="0.35">
      <c r="S518" s="1"/>
    </row>
    <row r="519" spans="19:19" x14ac:dyDescent="0.35">
      <c r="S519" s="1"/>
    </row>
    <row r="520" spans="19:19" x14ac:dyDescent="0.35">
      <c r="S520" s="1"/>
    </row>
    <row r="521" spans="19:19" x14ac:dyDescent="0.35">
      <c r="S521" s="1"/>
    </row>
    <row r="522" spans="19:19" x14ac:dyDescent="0.35">
      <c r="S522" s="1"/>
    </row>
    <row r="523" spans="19:19" x14ac:dyDescent="0.35">
      <c r="S523" s="1"/>
    </row>
    <row r="524" spans="19:19" x14ac:dyDescent="0.35">
      <c r="S524" s="1"/>
    </row>
    <row r="525" spans="19:19" x14ac:dyDescent="0.35">
      <c r="S525" s="1"/>
    </row>
    <row r="526" spans="19:19" x14ac:dyDescent="0.35">
      <c r="S526" s="1"/>
    </row>
    <row r="527" spans="19:19" x14ac:dyDescent="0.35">
      <c r="S527" s="1"/>
    </row>
    <row r="528" spans="19:19" x14ac:dyDescent="0.35">
      <c r="S528" s="1"/>
    </row>
    <row r="529" spans="19:19" x14ac:dyDescent="0.35">
      <c r="S529" s="1"/>
    </row>
    <row r="530" spans="19:19" x14ac:dyDescent="0.35">
      <c r="S530" s="1"/>
    </row>
    <row r="531" spans="19:19" x14ac:dyDescent="0.35">
      <c r="S531" s="1"/>
    </row>
    <row r="532" spans="19:19" x14ac:dyDescent="0.35">
      <c r="S532" s="1"/>
    </row>
    <row r="533" spans="19:19" x14ac:dyDescent="0.35">
      <c r="S533" s="1"/>
    </row>
    <row r="534" spans="19:19" x14ac:dyDescent="0.35">
      <c r="S534" s="1"/>
    </row>
    <row r="535" spans="19:19" x14ac:dyDescent="0.35">
      <c r="S535" s="1"/>
    </row>
    <row r="536" spans="19:19" x14ac:dyDescent="0.35">
      <c r="S536" s="1"/>
    </row>
    <row r="537" spans="19:19" x14ac:dyDescent="0.35">
      <c r="S537" s="1"/>
    </row>
    <row r="538" spans="19:19" x14ac:dyDescent="0.35">
      <c r="S538" s="1"/>
    </row>
    <row r="539" spans="19:19" x14ac:dyDescent="0.35">
      <c r="S539" s="1"/>
    </row>
    <row r="540" spans="19:19" x14ac:dyDescent="0.35">
      <c r="S540" s="1"/>
    </row>
    <row r="541" spans="19:19" x14ac:dyDescent="0.35">
      <c r="S541" s="1"/>
    </row>
    <row r="542" spans="19:19" x14ac:dyDescent="0.35">
      <c r="S542" s="1"/>
    </row>
    <row r="543" spans="19:19" x14ac:dyDescent="0.35">
      <c r="S543" s="1"/>
    </row>
    <row r="544" spans="19:19" x14ac:dyDescent="0.35">
      <c r="S544" s="1"/>
    </row>
    <row r="545" spans="19:19" x14ac:dyDescent="0.35">
      <c r="S545" s="1"/>
    </row>
    <row r="546" spans="19:19" x14ac:dyDescent="0.35">
      <c r="S546" s="1"/>
    </row>
    <row r="547" spans="19:19" x14ac:dyDescent="0.35">
      <c r="S547" s="1"/>
    </row>
    <row r="548" spans="19:19" x14ac:dyDescent="0.35">
      <c r="S548" s="1"/>
    </row>
    <row r="549" spans="19:19" x14ac:dyDescent="0.35">
      <c r="S549" s="1"/>
    </row>
    <row r="550" spans="19:19" x14ac:dyDescent="0.35">
      <c r="S550" s="1"/>
    </row>
    <row r="551" spans="19:19" x14ac:dyDescent="0.35">
      <c r="S551" s="1"/>
    </row>
    <row r="552" spans="19:19" x14ac:dyDescent="0.35">
      <c r="S552" s="1"/>
    </row>
    <row r="553" spans="19:19" x14ac:dyDescent="0.35">
      <c r="S553" s="1"/>
    </row>
    <row r="554" spans="19:19" x14ac:dyDescent="0.35">
      <c r="S554" s="1"/>
    </row>
    <row r="555" spans="19:19" x14ac:dyDescent="0.35">
      <c r="S555" s="1"/>
    </row>
    <row r="556" spans="19:19" x14ac:dyDescent="0.35">
      <c r="S556" s="1"/>
    </row>
    <row r="557" spans="19:19" x14ac:dyDescent="0.35">
      <c r="S557" s="1"/>
    </row>
    <row r="558" spans="19:19" x14ac:dyDescent="0.35">
      <c r="S558" s="1"/>
    </row>
    <row r="559" spans="19:19" x14ac:dyDescent="0.35">
      <c r="S559" s="1"/>
    </row>
    <row r="560" spans="19:19" x14ac:dyDescent="0.35">
      <c r="S560" s="1"/>
    </row>
    <row r="561" spans="19:19" x14ac:dyDescent="0.35">
      <c r="S561" s="1"/>
    </row>
    <row r="562" spans="19:19" x14ac:dyDescent="0.35">
      <c r="S562" s="1"/>
    </row>
    <row r="563" spans="19:19" x14ac:dyDescent="0.35">
      <c r="S563" s="1"/>
    </row>
    <row r="564" spans="19:19" x14ac:dyDescent="0.35">
      <c r="S564" s="1"/>
    </row>
    <row r="565" spans="19:19" x14ac:dyDescent="0.35">
      <c r="S565" s="1"/>
    </row>
    <row r="566" spans="19:19" x14ac:dyDescent="0.35">
      <c r="S566" s="1"/>
    </row>
    <row r="567" spans="19:19" x14ac:dyDescent="0.35">
      <c r="S567" s="1"/>
    </row>
    <row r="568" spans="19:19" x14ac:dyDescent="0.35">
      <c r="S568" s="1"/>
    </row>
    <row r="569" spans="19:19" x14ac:dyDescent="0.35">
      <c r="S569" s="1"/>
    </row>
    <row r="570" spans="19:19" x14ac:dyDescent="0.35">
      <c r="S570" s="1"/>
    </row>
    <row r="571" spans="19:19" x14ac:dyDescent="0.35">
      <c r="S571" s="1"/>
    </row>
    <row r="572" spans="19:19" x14ac:dyDescent="0.35">
      <c r="S572" s="1"/>
    </row>
    <row r="573" spans="19:19" x14ac:dyDescent="0.35">
      <c r="S573" s="1"/>
    </row>
    <row r="574" spans="19:19" x14ac:dyDescent="0.35">
      <c r="S574" s="1"/>
    </row>
    <row r="575" spans="19:19" x14ac:dyDescent="0.35">
      <c r="S575" s="1"/>
    </row>
    <row r="576" spans="19:19" x14ac:dyDescent="0.35">
      <c r="S576" s="1"/>
    </row>
    <row r="577" spans="19:19" x14ac:dyDescent="0.35">
      <c r="S577" s="1"/>
    </row>
    <row r="578" spans="19:19" x14ac:dyDescent="0.35">
      <c r="S578" s="1"/>
    </row>
    <row r="579" spans="19:19" x14ac:dyDescent="0.35">
      <c r="S579" s="1"/>
    </row>
    <row r="580" spans="19:19" x14ac:dyDescent="0.35">
      <c r="S580" s="1"/>
    </row>
    <row r="581" spans="19:19" x14ac:dyDescent="0.35">
      <c r="S581" s="1"/>
    </row>
    <row r="582" spans="19:19" x14ac:dyDescent="0.35">
      <c r="S582" s="1"/>
    </row>
    <row r="583" spans="19:19" x14ac:dyDescent="0.35">
      <c r="S583" s="1"/>
    </row>
    <row r="584" spans="19:19" x14ac:dyDescent="0.35">
      <c r="S584" s="1"/>
    </row>
    <row r="585" spans="19:19" x14ac:dyDescent="0.35">
      <c r="S585" s="1"/>
    </row>
    <row r="586" spans="19:19" x14ac:dyDescent="0.35">
      <c r="S586" s="1"/>
    </row>
    <row r="587" spans="19:19" x14ac:dyDescent="0.35">
      <c r="S587" s="1"/>
    </row>
    <row r="588" spans="19:19" x14ac:dyDescent="0.35">
      <c r="S588" s="1"/>
    </row>
    <row r="589" spans="19:19" x14ac:dyDescent="0.35">
      <c r="S589" s="1"/>
    </row>
    <row r="590" spans="19:19" x14ac:dyDescent="0.35">
      <c r="S590" s="1"/>
    </row>
    <row r="591" spans="19:19" x14ac:dyDescent="0.35">
      <c r="S591" s="1"/>
    </row>
    <row r="592" spans="19:19" x14ac:dyDescent="0.35">
      <c r="S592" s="1"/>
    </row>
    <row r="593" spans="19:19" x14ac:dyDescent="0.35">
      <c r="S593" s="1"/>
    </row>
    <row r="594" spans="19:19" x14ac:dyDescent="0.35">
      <c r="S594" s="1"/>
    </row>
    <row r="595" spans="19:19" x14ac:dyDescent="0.35">
      <c r="S595" s="1"/>
    </row>
    <row r="596" spans="19:19" x14ac:dyDescent="0.35">
      <c r="S596" s="1"/>
    </row>
    <row r="597" spans="19:19" x14ac:dyDescent="0.35">
      <c r="S597" s="1"/>
    </row>
    <row r="598" spans="19:19" x14ac:dyDescent="0.35">
      <c r="S598" s="1"/>
    </row>
    <row r="599" spans="19:19" x14ac:dyDescent="0.35">
      <c r="S599" s="1"/>
    </row>
    <row r="600" spans="19:19" x14ac:dyDescent="0.35">
      <c r="S600" s="1"/>
    </row>
    <row r="601" spans="19:19" x14ac:dyDescent="0.35">
      <c r="S601" s="1"/>
    </row>
    <row r="602" spans="19:19" x14ac:dyDescent="0.35">
      <c r="S602" s="1"/>
    </row>
    <row r="603" spans="19:19" x14ac:dyDescent="0.35">
      <c r="S603" s="1"/>
    </row>
    <row r="604" spans="19:19" x14ac:dyDescent="0.35">
      <c r="S604" s="1"/>
    </row>
    <row r="605" spans="19:19" x14ac:dyDescent="0.35">
      <c r="S605" s="1"/>
    </row>
    <row r="606" spans="19:19" x14ac:dyDescent="0.35">
      <c r="S606" s="1"/>
    </row>
    <row r="607" spans="19:19" x14ac:dyDescent="0.35">
      <c r="S607" s="1"/>
    </row>
    <row r="608" spans="19:19" x14ac:dyDescent="0.35">
      <c r="S608" s="1"/>
    </row>
    <row r="609" spans="19:19" x14ac:dyDescent="0.35">
      <c r="S609" s="1"/>
    </row>
    <row r="610" spans="19:19" x14ac:dyDescent="0.35">
      <c r="S610" s="1"/>
    </row>
    <row r="611" spans="19:19" x14ac:dyDescent="0.35">
      <c r="S611" s="1"/>
    </row>
    <row r="612" spans="19:19" x14ac:dyDescent="0.35">
      <c r="S612" s="1"/>
    </row>
    <row r="613" spans="19:19" x14ac:dyDescent="0.35">
      <c r="S613" s="1"/>
    </row>
    <row r="614" spans="19:19" x14ac:dyDescent="0.35">
      <c r="S614" s="1"/>
    </row>
    <row r="615" spans="19:19" x14ac:dyDescent="0.35">
      <c r="S615" s="1"/>
    </row>
    <row r="616" spans="19:19" x14ac:dyDescent="0.35">
      <c r="S616" s="1"/>
    </row>
    <row r="617" spans="19:19" x14ac:dyDescent="0.35">
      <c r="S617" s="1"/>
    </row>
    <row r="618" spans="19:19" x14ac:dyDescent="0.35">
      <c r="S618" s="1"/>
    </row>
    <row r="619" spans="19:19" x14ac:dyDescent="0.35">
      <c r="S619" s="1"/>
    </row>
    <row r="620" spans="19:19" x14ac:dyDescent="0.35">
      <c r="S620" s="1"/>
    </row>
    <row r="621" spans="19:19" x14ac:dyDescent="0.35">
      <c r="S621" s="1"/>
    </row>
    <row r="622" spans="19:19" x14ac:dyDescent="0.35">
      <c r="S622" s="1"/>
    </row>
    <row r="623" spans="19:19" x14ac:dyDescent="0.35">
      <c r="S623" s="1"/>
    </row>
    <row r="624" spans="19:19" x14ac:dyDescent="0.35">
      <c r="S624" s="1"/>
    </row>
    <row r="625" spans="19:19" x14ac:dyDescent="0.35">
      <c r="S625" s="1"/>
    </row>
    <row r="626" spans="19:19" x14ac:dyDescent="0.35">
      <c r="S626" s="1"/>
    </row>
    <row r="627" spans="19:19" x14ac:dyDescent="0.35">
      <c r="S627" s="1"/>
    </row>
    <row r="628" spans="19:19" x14ac:dyDescent="0.35">
      <c r="S628" s="1"/>
    </row>
    <row r="629" spans="19:19" x14ac:dyDescent="0.35">
      <c r="S629" s="1"/>
    </row>
    <row r="630" spans="19:19" x14ac:dyDescent="0.35">
      <c r="S630" s="1"/>
    </row>
    <row r="631" spans="19:19" x14ac:dyDescent="0.35">
      <c r="S631" s="1"/>
    </row>
    <row r="632" spans="19:19" x14ac:dyDescent="0.35">
      <c r="S632" s="1"/>
    </row>
    <row r="633" spans="19:19" x14ac:dyDescent="0.35">
      <c r="S633" s="1"/>
    </row>
    <row r="634" spans="19:19" x14ac:dyDescent="0.35">
      <c r="S634" s="1"/>
    </row>
    <row r="635" spans="19:19" x14ac:dyDescent="0.35">
      <c r="S635" s="1"/>
    </row>
    <row r="636" spans="19:19" x14ac:dyDescent="0.35">
      <c r="S636" s="1"/>
    </row>
    <row r="637" spans="19:19" x14ac:dyDescent="0.35">
      <c r="S637" s="1"/>
    </row>
    <row r="638" spans="19:19" x14ac:dyDescent="0.35">
      <c r="S638" s="1"/>
    </row>
    <row r="639" spans="19:19" x14ac:dyDescent="0.35">
      <c r="S639" s="1"/>
    </row>
    <row r="640" spans="19:19" x14ac:dyDescent="0.35">
      <c r="S640" s="1"/>
    </row>
    <row r="641" spans="19:19" x14ac:dyDescent="0.35">
      <c r="S641" s="1"/>
    </row>
    <row r="642" spans="19:19" x14ac:dyDescent="0.35">
      <c r="S642" s="1"/>
    </row>
    <row r="643" spans="19:19" x14ac:dyDescent="0.35">
      <c r="S643" s="1"/>
    </row>
    <row r="644" spans="19:19" x14ac:dyDescent="0.35">
      <c r="S644" s="1"/>
    </row>
    <row r="645" spans="19:19" x14ac:dyDescent="0.35">
      <c r="S645" s="1"/>
    </row>
    <row r="646" spans="19:19" x14ac:dyDescent="0.35">
      <c r="S646" s="1"/>
    </row>
    <row r="647" spans="19:19" x14ac:dyDescent="0.35">
      <c r="S647" s="1"/>
    </row>
    <row r="648" spans="19:19" x14ac:dyDescent="0.35">
      <c r="S648" s="1"/>
    </row>
    <row r="649" spans="19:19" x14ac:dyDescent="0.35">
      <c r="S649" s="1"/>
    </row>
    <row r="650" spans="19:19" x14ac:dyDescent="0.35">
      <c r="S650" s="1"/>
    </row>
    <row r="651" spans="19:19" x14ac:dyDescent="0.35">
      <c r="S651" s="1"/>
    </row>
    <row r="652" spans="19:19" x14ac:dyDescent="0.35">
      <c r="S652" s="1"/>
    </row>
    <row r="653" spans="19:19" x14ac:dyDescent="0.35">
      <c r="S653" s="1"/>
    </row>
    <row r="654" spans="19:19" x14ac:dyDescent="0.35">
      <c r="S654" s="1"/>
    </row>
    <row r="655" spans="19:19" x14ac:dyDescent="0.35">
      <c r="S655" s="1"/>
    </row>
    <row r="656" spans="19:19" x14ac:dyDescent="0.35">
      <c r="S656" s="1"/>
    </row>
    <row r="657" spans="19:19" x14ac:dyDescent="0.35">
      <c r="S657" s="1"/>
    </row>
    <row r="658" spans="19:19" x14ac:dyDescent="0.35">
      <c r="S658" s="1"/>
    </row>
    <row r="659" spans="19:19" x14ac:dyDescent="0.35">
      <c r="S659" s="1"/>
    </row>
    <row r="660" spans="19:19" x14ac:dyDescent="0.35">
      <c r="S660" s="1"/>
    </row>
    <row r="661" spans="19:19" x14ac:dyDescent="0.35">
      <c r="S661" s="1"/>
    </row>
    <row r="662" spans="19:19" x14ac:dyDescent="0.35">
      <c r="S662" s="1"/>
    </row>
    <row r="663" spans="19:19" x14ac:dyDescent="0.35">
      <c r="S663" s="1"/>
    </row>
    <row r="664" spans="19:19" x14ac:dyDescent="0.35">
      <c r="S664" s="1"/>
    </row>
    <row r="665" spans="19:19" x14ac:dyDescent="0.35">
      <c r="S665" s="1"/>
    </row>
    <row r="666" spans="19:19" x14ac:dyDescent="0.35">
      <c r="S666" s="1"/>
    </row>
    <row r="667" spans="19:19" x14ac:dyDescent="0.35">
      <c r="S667" s="1"/>
    </row>
    <row r="668" spans="19:19" x14ac:dyDescent="0.35">
      <c r="S668" s="1"/>
    </row>
    <row r="669" spans="19:19" x14ac:dyDescent="0.35">
      <c r="S669" s="1"/>
    </row>
    <row r="670" spans="19:19" x14ac:dyDescent="0.35">
      <c r="S670" s="1"/>
    </row>
    <row r="671" spans="19:19" x14ac:dyDescent="0.35">
      <c r="S671" s="1"/>
    </row>
    <row r="672" spans="19:19" x14ac:dyDescent="0.35">
      <c r="S672" s="1"/>
    </row>
    <row r="673" spans="19:19" x14ac:dyDescent="0.35">
      <c r="S673" s="1"/>
    </row>
    <row r="674" spans="19:19" x14ac:dyDescent="0.35">
      <c r="S674" s="1"/>
    </row>
    <row r="675" spans="19:19" x14ac:dyDescent="0.35">
      <c r="S675" s="1"/>
    </row>
    <row r="676" spans="19:19" x14ac:dyDescent="0.35">
      <c r="S676" s="1"/>
    </row>
    <row r="677" spans="19:19" x14ac:dyDescent="0.35">
      <c r="S677" s="1"/>
    </row>
    <row r="678" spans="19:19" x14ac:dyDescent="0.35">
      <c r="S678" s="1"/>
    </row>
    <row r="679" spans="19:19" x14ac:dyDescent="0.35">
      <c r="S679" s="1"/>
    </row>
    <row r="680" spans="19:19" x14ac:dyDescent="0.35">
      <c r="S680" s="1"/>
    </row>
    <row r="681" spans="19:19" x14ac:dyDescent="0.35">
      <c r="S681" s="1"/>
    </row>
    <row r="682" spans="19:19" x14ac:dyDescent="0.35">
      <c r="S682" s="1"/>
    </row>
    <row r="683" spans="19:19" x14ac:dyDescent="0.35">
      <c r="S683" s="1"/>
    </row>
    <row r="684" spans="19:19" x14ac:dyDescent="0.35">
      <c r="S684" s="1"/>
    </row>
    <row r="685" spans="19:19" x14ac:dyDescent="0.35">
      <c r="S685" s="1"/>
    </row>
    <row r="686" spans="19:19" x14ac:dyDescent="0.35">
      <c r="S686" s="1"/>
    </row>
    <row r="687" spans="19:19" x14ac:dyDescent="0.35">
      <c r="S687" s="1"/>
    </row>
    <row r="688" spans="19:19" x14ac:dyDescent="0.35">
      <c r="S688" s="1"/>
    </row>
    <row r="689" spans="19:19" x14ac:dyDescent="0.35">
      <c r="S689" s="1"/>
    </row>
    <row r="690" spans="19:19" x14ac:dyDescent="0.35">
      <c r="S690" s="1"/>
    </row>
    <row r="691" spans="19:19" x14ac:dyDescent="0.35">
      <c r="S691" s="1"/>
    </row>
    <row r="692" spans="19:19" x14ac:dyDescent="0.35">
      <c r="S692" s="1"/>
    </row>
    <row r="693" spans="19:19" x14ac:dyDescent="0.35">
      <c r="S693" s="1"/>
    </row>
    <row r="694" spans="19:19" x14ac:dyDescent="0.35">
      <c r="S694" s="1"/>
    </row>
    <row r="695" spans="19:19" x14ac:dyDescent="0.35">
      <c r="S695" s="1"/>
    </row>
    <row r="696" spans="19:19" x14ac:dyDescent="0.35">
      <c r="S696" s="1"/>
    </row>
    <row r="697" spans="19:19" x14ac:dyDescent="0.35">
      <c r="S697" s="1"/>
    </row>
    <row r="698" spans="19:19" x14ac:dyDescent="0.35">
      <c r="S698" s="1"/>
    </row>
    <row r="699" spans="19:19" x14ac:dyDescent="0.35">
      <c r="S699" s="1"/>
    </row>
    <row r="700" spans="19:19" x14ac:dyDescent="0.35">
      <c r="S700" s="1"/>
    </row>
    <row r="701" spans="19:19" x14ac:dyDescent="0.35">
      <c r="S701" s="1"/>
    </row>
    <row r="702" spans="19:19" x14ac:dyDescent="0.35">
      <c r="S702" s="1"/>
    </row>
    <row r="703" spans="19:19" x14ac:dyDescent="0.35">
      <c r="S703" s="1"/>
    </row>
    <row r="704" spans="19:19" x14ac:dyDescent="0.35">
      <c r="S704" s="1"/>
    </row>
    <row r="705" spans="19:19" x14ac:dyDescent="0.35">
      <c r="S705" s="1"/>
    </row>
    <row r="706" spans="19:19" x14ac:dyDescent="0.35">
      <c r="S706" s="1"/>
    </row>
    <row r="707" spans="19:19" x14ac:dyDescent="0.35">
      <c r="S707" s="1"/>
    </row>
    <row r="708" spans="19:19" x14ac:dyDescent="0.35">
      <c r="S708" s="1"/>
    </row>
    <row r="709" spans="19:19" x14ac:dyDescent="0.35">
      <c r="S709" s="1"/>
    </row>
    <row r="710" spans="19:19" x14ac:dyDescent="0.35">
      <c r="S710" s="1"/>
    </row>
    <row r="711" spans="19:19" x14ac:dyDescent="0.35">
      <c r="S711" s="1"/>
    </row>
    <row r="712" spans="19:19" x14ac:dyDescent="0.35">
      <c r="S712" s="1"/>
    </row>
    <row r="713" spans="19:19" x14ac:dyDescent="0.35">
      <c r="S713" s="1"/>
    </row>
    <row r="714" spans="19:19" x14ac:dyDescent="0.35">
      <c r="S714" s="1"/>
    </row>
    <row r="715" spans="19:19" x14ac:dyDescent="0.35">
      <c r="S715" s="1"/>
    </row>
    <row r="716" spans="19:19" x14ac:dyDescent="0.35">
      <c r="S716" s="1"/>
    </row>
    <row r="717" spans="19:19" x14ac:dyDescent="0.35">
      <c r="S717" s="1"/>
    </row>
    <row r="718" spans="19:19" x14ac:dyDescent="0.35">
      <c r="S718" s="1"/>
    </row>
    <row r="719" spans="19:19" x14ac:dyDescent="0.35">
      <c r="S719" s="1"/>
    </row>
    <row r="720" spans="19:19" x14ac:dyDescent="0.35">
      <c r="S720" s="1"/>
    </row>
    <row r="721" spans="19:19" x14ac:dyDescent="0.35">
      <c r="S721" s="1"/>
    </row>
    <row r="722" spans="19:19" x14ac:dyDescent="0.35">
      <c r="S722" s="1"/>
    </row>
    <row r="723" spans="19:19" x14ac:dyDescent="0.35">
      <c r="S723" s="1"/>
    </row>
    <row r="724" spans="19:19" x14ac:dyDescent="0.35">
      <c r="S724" s="1"/>
    </row>
    <row r="725" spans="19:19" x14ac:dyDescent="0.35">
      <c r="S725" s="1"/>
    </row>
    <row r="726" spans="19:19" x14ac:dyDescent="0.35">
      <c r="S726" s="1"/>
    </row>
    <row r="727" spans="19:19" x14ac:dyDescent="0.35">
      <c r="S727" s="1"/>
    </row>
    <row r="728" spans="19:19" x14ac:dyDescent="0.35">
      <c r="S728" s="1"/>
    </row>
    <row r="729" spans="19:19" x14ac:dyDescent="0.35">
      <c r="S729" s="1"/>
    </row>
    <row r="730" spans="19:19" x14ac:dyDescent="0.35">
      <c r="S730" s="1"/>
    </row>
    <row r="731" spans="19:19" x14ac:dyDescent="0.35">
      <c r="S731" s="1"/>
    </row>
    <row r="732" spans="19:19" x14ac:dyDescent="0.35">
      <c r="S732" s="1"/>
    </row>
    <row r="733" spans="19:19" x14ac:dyDescent="0.35">
      <c r="S733" s="1"/>
    </row>
    <row r="734" spans="19:19" x14ac:dyDescent="0.35">
      <c r="S734" s="1"/>
    </row>
    <row r="735" spans="19:19" x14ac:dyDescent="0.35">
      <c r="S735" s="1"/>
    </row>
    <row r="736" spans="19:19" x14ac:dyDescent="0.35">
      <c r="S736" s="1"/>
    </row>
    <row r="737" spans="19:19" x14ac:dyDescent="0.35">
      <c r="S737" s="1"/>
    </row>
    <row r="738" spans="19:19" x14ac:dyDescent="0.35">
      <c r="S738" s="1"/>
    </row>
    <row r="739" spans="19:19" x14ac:dyDescent="0.35">
      <c r="S739" s="1"/>
    </row>
    <row r="740" spans="19:19" x14ac:dyDescent="0.35">
      <c r="S740" s="1"/>
    </row>
    <row r="741" spans="19:19" x14ac:dyDescent="0.35">
      <c r="S741" s="1"/>
    </row>
    <row r="742" spans="19:19" x14ac:dyDescent="0.35">
      <c r="S742" s="1"/>
    </row>
    <row r="743" spans="19:19" x14ac:dyDescent="0.35">
      <c r="S743" s="1"/>
    </row>
    <row r="744" spans="19:19" x14ac:dyDescent="0.35">
      <c r="S744" s="1"/>
    </row>
    <row r="745" spans="19:19" x14ac:dyDescent="0.35">
      <c r="S745" s="1"/>
    </row>
    <row r="746" spans="19:19" x14ac:dyDescent="0.35">
      <c r="S746" s="1"/>
    </row>
    <row r="747" spans="19:19" x14ac:dyDescent="0.35">
      <c r="S747" s="1"/>
    </row>
    <row r="748" spans="19:19" x14ac:dyDescent="0.35">
      <c r="S748" s="1"/>
    </row>
    <row r="749" spans="19:19" x14ac:dyDescent="0.35">
      <c r="S749" s="1"/>
    </row>
    <row r="750" spans="19:19" x14ac:dyDescent="0.35">
      <c r="S750" s="1"/>
    </row>
    <row r="751" spans="19:19" x14ac:dyDescent="0.35">
      <c r="S751" s="1"/>
    </row>
    <row r="752" spans="19:19" x14ac:dyDescent="0.35">
      <c r="S752" s="1"/>
    </row>
    <row r="753" spans="19:19" x14ac:dyDescent="0.35">
      <c r="S753" s="1"/>
    </row>
    <row r="754" spans="19:19" x14ac:dyDescent="0.35">
      <c r="S754" s="1"/>
    </row>
    <row r="755" spans="19:19" x14ac:dyDescent="0.35">
      <c r="S755" s="1"/>
    </row>
    <row r="756" spans="19:19" x14ac:dyDescent="0.35">
      <c r="S756" s="1"/>
    </row>
    <row r="757" spans="19:19" x14ac:dyDescent="0.35">
      <c r="S757" s="1"/>
    </row>
    <row r="758" spans="19:19" x14ac:dyDescent="0.35">
      <c r="S758" s="1"/>
    </row>
    <row r="759" spans="19:19" x14ac:dyDescent="0.35">
      <c r="S759" s="1"/>
    </row>
    <row r="760" spans="19:19" x14ac:dyDescent="0.35">
      <c r="S760" s="1"/>
    </row>
    <row r="761" spans="19:19" x14ac:dyDescent="0.35">
      <c r="S761" s="1"/>
    </row>
    <row r="762" spans="19:19" x14ac:dyDescent="0.35">
      <c r="S762" s="1"/>
    </row>
    <row r="763" spans="19:19" x14ac:dyDescent="0.35">
      <c r="S763" s="1"/>
    </row>
    <row r="764" spans="19:19" x14ac:dyDescent="0.35">
      <c r="S764" s="1"/>
    </row>
    <row r="765" spans="19:19" x14ac:dyDescent="0.35">
      <c r="S765" s="1"/>
    </row>
    <row r="766" spans="19:19" x14ac:dyDescent="0.35">
      <c r="S766" s="1"/>
    </row>
    <row r="767" spans="19:19" x14ac:dyDescent="0.35">
      <c r="S767" s="1"/>
    </row>
    <row r="768" spans="19:19" x14ac:dyDescent="0.35">
      <c r="S768" s="1"/>
    </row>
    <row r="769" spans="19:19" x14ac:dyDescent="0.35">
      <c r="S769" s="1"/>
    </row>
    <row r="770" spans="19:19" x14ac:dyDescent="0.35">
      <c r="S770" s="1"/>
    </row>
    <row r="771" spans="19:19" x14ac:dyDescent="0.35">
      <c r="S771" s="1"/>
    </row>
    <row r="772" spans="19:19" x14ac:dyDescent="0.35">
      <c r="S772" s="1"/>
    </row>
    <row r="773" spans="19:19" x14ac:dyDescent="0.35">
      <c r="S773" s="1"/>
    </row>
    <row r="774" spans="19:19" x14ac:dyDescent="0.35">
      <c r="S774" s="1"/>
    </row>
    <row r="775" spans="19:19" x14ac:dyDescent="0.35">
      <c r="S775" s="1"/>
    </row>
    <row r="776" spans="19:19" x14ac:dyDescent="0.35">
      <c r="S776" s="1"/>
    </row>
    <row r="777" spans="19:19" x14ac:dyDescent="0.35">
      <c r="S777" s="1"/>
    </row>
    <row r="778" spans="19:19" x14ac:dyDescent="0.35">
      <c r="S778" s="1"/>
    </row>
    <row r="779" spans="19:19" x14ac:dyDescent="0.35">
      <c r="S779" s="1"/>
    </row>
    <row r="780" spans="19:19" x14ac:dyDescent="0.35">
      <c r="S780" s="1"/>
    </row>
    <row r="781" spans="19:19" x14ac:dyDescent="0.35">
      <c r="S781" s="1"/>
    </row>
    <row r="782" spans="19:19" x14ac:dyDescent="0.35">
      <c r="S782" s="1"/>
    </row>
    <row r="783" spans="19:19" x14ac:dyDescent="0.35">
      <c r="S783" s="1"/>
    </row>
    <row r="784" spans="19:19" x14ac:dyDescent="0.35">
      <c r="S784" s="1"/>
    </row>
    <row r="785" spans="19:19" x14ac:dyDescent="0.35">
      <c r="S785" s="1"/>
    </row>
    <row r="786" spans="19:19" x14ac:dyDescent="0.35">
      <c r="S786" s="1"/>
    </row>
    <row r="787" spans="19:19" x14ac:dyDescent="0.35">
      <c r="S787" s="1"/>
    </row>
    <row r="788" spans="19:19" x14ac:dyDescent="0.35">
      <c r="S788" s="1"/>
    </row>
    <row r="789" spans="19:19" x14ac:dyDescent="0.35">
      <c r="S789" s="1"/>
    </row>
    <row r="790" spans="19:19" x14ac:dyDescent="0.35">
      <c r="S790" s="1"/>
    </row>
    <row r="791" spans="19:19" x14ac:dyDescent="0.35">
      <c r="S791" s="1"/>
    </row>
    <row r="792" spans="19:19" x14ac:dyDescent="0.35">
      <c r="S792" s="1"/>
    </row>
    <row r="793" spans="19:19" x14ac:dyDescent="0.35">
      <c r="S793" s="1"/>
    </row>
    <row r="794" spans="19:19" x14ac:dyDescent="0.35">
      <c r="S794" s="1"/>
    </row>
    <row r="795" spans="19:19" x14ac:dyDescent="0.35">
      <c r="S795" s="1"/>
    </row>
    <row r="796" spans="19:19" x14ac:dyDescent="0.35">
      <c r="S796" s="1"/>
    </row>
    <row r="797" spans="19:19" x14ac:dyDescent="0.35">
      <c r="S797" s="1"/>
    </row>
    <row r="798" spans="19:19" x14ac:dyDescent="0.35">
      <c r="S798" s="1"/>
    </row>
    <row r="799" spans="19:19" x14ac:dyDescent="0.35">
      <c r="S799" s="1"/>
    </row>
    <row r="800" spans="19:19" x14ac:dyDescent="0.35">
      <c r="S800" s="1"/>
    </row>
    <row r="801" spans="19:19" x14ac:dyDescent="0.35">
      <c r="S801" s="1"/>
    </row>
    <row r="802" spans="19:19" x14ac:dyDescent="0.35">
      <c r="S802" s="1"/>
    </row>
    <row r="803" spans="19:19" x14ac:dyDescent="0.35">
      <c r="S803" s="1"/>
    </row>
    <row r="804" spans="19:19" x14ac:dyDescent="0.35">
      <c r="S804" s="1"/>
    </row>
    <row r="805" spans="19:19" x14ac:dyDescent="0.35">
      <c r="S805" s="1"/>
    </row>
    <row r="806" spans="19:19" x14ac:dyDescent="0.35">
      <c r="S806" s="1"/>
    </row>
    <row r="807" spans="19:19" x14ac:dyDescent="0.35">
      <c r="S807" s="1"/>
    </row>
    <row r="808" spans="19:19" x14ac:dyDescent="0.35">
      <c r="S808" s="1"/>
    </row>
    <row r="809" spans="19:19" x14ac:dyDescent="0.35">
      <c r="S809" s="1"/>
    </row>
    <row r="810" spans="19:19" x14ac:dyDescent="0.35">
      <c r="S810" s="1"/>
    </row>
    <row r="811" spans="19:19" x14ac:dyDescent="0.35">
      <c r="S811" s="1"/>
    </row>
    <row r="812" spans="19:19" x14ac:dyDescent="0.35">
      <c r="S812" s="1"/>
    </row>
    <row r="813" spans="19:19" x14ac:dyDescent="0.35">
      <c r="S813" s="1"/>
    </row>
    <row r="814" spans="19:19" x14ac:dyDescent="0.35">
      <c r="S814" s="1"/>
    </row>
    <row r="815" spans="19:19" x14ac:dyDescent="0.35">
      <c r="S815" s="1"/>
    </row>
    <row r="816" spans="19:19" x14ac:dyDescent="0.35">
      <c r="S816" s="1"/>
    </row>
    <row r="817" spans="19:19" x14ac:dyDescent="0.35">
      <c r="S817" s="1"/>
    </row>
    <row r="818" spans="19:19" x14ac:dyDescent="0.35">
      <c r="S818" s="1"/>
    </row>
    <row r="819" spans="19:19" x14ac:dyDescent="0.35">
      <c r="S819" s="1"/>
    </row>
    <row r="820" spans="19:19" x14ac:dyDescent="0.35">
      <c r="S820" s="1"/>
    </row>
    <row r="821" spans="19:19" x14ac:dyDescent="0.35">
      <c r="S821" s="1"/>
    </row>
    <row r="822" spans="19:19" x14ac:dyDescent="0.35">
      <c r="S822" s="1"/>
    </row>
    <row r="823" spans="19:19" x14ac:dyDescent="0.35">
      <c r="S823" s="1"/>
    </row>
    <row r="824" spans="19:19" x14ac:dyDescent="0.35">
      <c r="S824" s="1"/>
    </row>
    <row r="825" spans="19:19" x14ac:dyDescent="0.35">
      <c r="S825" s="1"/>
    </row>
    <row r="826" spans="19:19" x14ac:dyDescent="0.35">
      <c r="S826" s="1"/>
    </row>
    <row r="827" spans="19:19" x14ac:dyDescent="0.35">
      <c r="S827" s="1"/>
    </row>
    <row r="828" spans="19:19" x14ac:dyDescent="0.35">
      <c r="S828" s="1"/>
    </row>
    <row r="829" spans="19:19" x14ac:dyDescent="0.35">
      <c r="S829" s="1"/>
    </row>
    <row r="830" spans="19:19" x14ac:dyDescent="0.35">
      <c r="S830" s="1"/>
    </row>
    <row r="831" spans="19:19" x14ac:dyDescent="0.35">
      <c r="S831" s="1"/>
    </row>
    <row r="832" spans="19:19" x14ac:dyDescent="0.35">
      <c r="S832" s="1"/>
    </row>
    <row r="833" spans="19:19" x14ac:dyDescent="0.35">
      <c r="S833" s="1"/>
    </row>
    <row r="834" spans="19:19" x14ac:dyDescent="0.35">
      <c r="S834" s="1"/>
    </row>
    <row r="835" spans="19:19" x14ac:dyDescent="0.35">
      <c r="S835" s="1"/>
    </row>
    <row r="836" spans="19:19" x14ac:dyDescent="0.35">
      <c r="S836" s="1"/>
    </row>
    <row r="837" spans="19:19" x14ac:dyDescent="0.35">
      <c r="S837" s="1"/>
    </row>
    <row r="838" spans="19:19" x14ac:dyDescent="0.35">
      <c r="S838" s="1"/>
    </row>
    <row r="839" spans="19:19" x14ac:dyDescent="0.35">
      <c r="S839" s="1"/>
    </row>
    <row r="840" spans="19:19" x14ac:dyDescent="0.35">
      <c r="S840" s="1"/>
    </row>
    <row r="841" spans="19:19" x14ac:dyDescent="0.35">
      <c r="S841" s="1"/>
    </row>
    <row r="842" spans="19:19" x14ac:dyDescent="0.35">
      <c r="S842" s="1"/>
    </row>
    <row r="843" spans="19:19" x14ac:dyDescent="0.35">
      <c r="S843" s="1"/>
    </row>
    <row r="844" spans="19:19" x14ac:dyDescent="0.35">
      <c r="S844" s="1"/>
    </row>
    <row r="845" spans="19:19" x14ac:dyDescent="0.35">
      <c r="S845" s="1"/>
    </row>
    <row r="846" spans="19:19" x14ac:dyDescent="0.35">
      <c r="S846" s="1"/>
    </row>
    <row r="847" spans="19:19" x14ac:dyDescent="0.35">
      <c r="S847" s="1"/>
    </row>
    <row r="848" spans="19:19" x14ac:dyDescent="0.35">
      <c r="S848" s="1"/>
    </row>
    <row r="849" spans="19:19" x14ac:dyDescent="0.35">
      <c r="S849" s="1"/>
    </row>
    <row r="850" spans="19:19" x14ac:dyDescent="0.35">
      <c r="S850" s="1"/>
    </row>
    <row r="851" spans="19:19" x14ac:dyDescent="0.35">
      <c r="S851" s="1"/>
    </row>
    <row r="852" spans="19:19" x14ac:dyDescent="0.35">
      <c r="S852" s="1"/>
    </row>
    <row r="853" spans="19:19" x14ac:dyDescent="0.35">
      <c r="S853" s="1"/>
    </row>
    <row r="854" spans="19:19" x14ac:dyDescent="0.35">
      <c r="S854" s="1"/>
    </row>
    <row r="855" spans="19:19" x14ac:dyDescent="0.35">
      <c r="S855" s="1"/>
    </row>
    <row r="856" spans="19:19" x14ac:dyDescent="0.35">
      <c r="S856" s="1"/>
    </row>
    <row r="857" spans="19:19" x14ac:dyDescent="0.35">
      <c r="S857" s="1"/>
    </row>
    <row r="858" spans="19:19" x14ac:dyDescent="0.35">
      <c r="S858" s="1"/>
    </row>
    <row r="859" spans="19:19" x14ac:dyDescent="0.35">
      <c r="S859" s="1"/>
    </row>
    <row r="860" spans="19:19" x14ac:dyDescent="0.35">
      <c r="S860" s="1"/>
    </row>
    <row r="861" spans="19:19" x14ac:dyDescent="0.35">
      <c r="S861" s="1"/>
    </row>
    <row r="862" spans="19:19" x14ac:dyDescent="0.35">
      <c r="S862" s="1"/>
    </row>
    <row r="863" spans="19:19" x14ac:dyDescent="0.35">
      <c r="S863" s="1"/>
    </row>
    <row r="864" spans="19:19" x14ac:dyDescent="0.35">
      <c r="S864" s="1"/>
    </row>
    <row r="865" spans="19:19" x14ac:dyDescent="0.35">
      <c r="S865" s="1"/>
    </row>
    <row r="866" spans="19:19" x14ac:dyDescent="0.35">
      <c r="S866" s="1"/>
    </row>
    <row r="867" spans="19:19" x14ac:dyDescent="0.35">
      <c r="S867" s="1"/>
    </row>
    <row r="868" spans="19:19" x14ac:dyDescent="0.35">
      <c r="S868" s="1"/>
    </row>
    <row r="869" spans="19:19" x14ac:dyDescent="0.35">
      <c r="S869" s="1"/>
    </row>
    <row r="870" spans="19:19" x14ac:dyDescent="0.35">
      <c r="S870" s="1"/>
    </row>
    <row r="871" spans="19:19" x14ac:dyDescent="0.35">
      <c r="S871" s="1"/>
    </row>
    <row r="872" spans="19:19" x14ac:dyDescent="0.35">
      <c r="S872" s="1"/>
    </row>
    <row r="873" spans="19:19" x14ac:dyDescent="0.35">
      <c r="S873" s="1"/>
    </row>
    <row r="874" spans="19:19" x14ac:dyDescent="0.35">
      <c r="S874" s="1"/>
    </row>
    <row r="875" spans="19:19" x14ac:dyDescent="0.35">
      <c r="S875" s="1"/>
    </row>
    <row r="876" spans="19:19" x14ac:dyDescent="0.35">
      <c r="S876" s="1"/>
    </row>
    <row r="877" spans="19:19" x14ac:dyDescent="0.35">
      <c r="S877" s="1"/>
    </row>
    <row r="878" spans="19:19" x14ac:dyDescent="0.35">
      <c r="S878" s="1"/>
    </row>
    <row r="879" spans="19:19" x14ac:dyDescent="0.35">
      <c r="S879" s="1"/>
    </row>
    <row r="880" spans="19:19" x14ac:dyDescent="0.35">
      <c r="S880" s="1"/>
    </row>
    <row r="881" spans="19:19" x14ac:dyDescent="0.35">
      <c r="S881" s="1"/>
    </row>
    <row r="882" spans="19:19" x14ac:dyDescent="0.35">
      <c r="S882" s="1"/>
    </row>
    <row r="883" spans="19:19" x14ac:dyDescent="0.35">
      <c r="S883" s="1"/>
    </row>
    <row r="884" spans="19:19" x14ac:dyDescent="0.35">
      <c r="S884" s="1"/>
    </row>
    <row r="885" spans="19:19" x14ac:dyDescent="0.35">
      <c r="S885" s="1"/>
    </row>
    <row r="886" spans="19:19" x14ac:dyDescent="0.35">
      <c r="S886" s="1"/>
    </row>
    <row r="887" spans="19:19" x14ac:dyDescent="0.35">
      <c r="S887" s="1"/>
    </row>
    <row r="888" spans="19:19" x14ac:dyDescent="0.35">
      <c r="S888" s="1"/>
    </row>
    <row r="889" spans="19:19" x14ac:dyDescent="0.35">
      <c r="S889" s="1"/>
    </row>
    <row r="890" spans="19:19" x14ac:dyDescent="0.35">
      <c r="S890" s="1"/>
    </row>
    <row r="891" spans="19:19" x14ac:dyDescent="0.35">
      <c r="S891" s="1"/>
    </row>
    <row r="892" spans="19:19" x14ac:dyDescent="0.35">
      <c r="S892" s="1"/>
    </row>
    <row r="893" spans="19:19" x14ac:dyDescent="0.35">
      <c r="S893" s="1"/>
    </row>
    <row r="894" spans="19:19" x14ac:dyDescent="0.35">
      <c r="S894" s="1"/>
    </row>
    <row r="895" spans="19:19" x14ac:dyDescent="0.35">
      <c r="S895" s="1"/>
    </row>
    <row r="896" spans="19:19" x14ac:dyDescent="0.35">
      <c r="S896" s="1"/>
    </row>
    <row r="897" spans="19:19" x14ac:dyDescent="0.35">
      <c r="S897" s="1"/>
    </row>
    <row r="898" spans="19:19" x14ac:dyDescent="0.35">
      <c r="S898" s="1"/>
    </row>
    <row r="899" spans="19:19" x14ac:dyDescent="0.35">
      <c r="S899" s="1"/>
    </row>
    <row r="900" spans="19:19" x14ac:dyDescent="0.35">
      <c r="S900" s="1"/>
    </row>
    <row r="901" spans="19:19" x14ac:dyDescent="0.35">
      <c r="S901" s="1"/>
    </row>
    <row r="902" spans="19:19" x14ac:dyDescent="0.35">
      <c r="S902" s="1"/>
    </row>
    <row r="903" spans="19:19" x14ac:dyDescent="0.35">
      <c r="S903" s="1"/>
    </row>
    <row r="904" spans="19:19" x14ac:dyDescent="0.35">
      <c r="S904" s="1"/>
    </row>
    <row r="905" spans="19:19" x14ac:dyDescent="0.35">
      <c r="S905" s="1"/>
    </row>
    <row r="906" spans="19:19" x14ac:dyDescent="0.35">
      <c r="S906" s="1"/>
    </row>
    <row r="907" spans="19:19" x14ac:dyDescent="0.35">
      <c r="S907" s="1"/>
    </row>
    <row r="908" spans="19:19" x14ac:dyDescent="0.35">
      <c r="S908" s="1"/>
    </row>
    <row r="909" spans="19:19" x14ac:dyDescent="0.35">
      <c r="S909" s="1"/>
    </row>
    <row r="910" spans="19:19" x14ac:dyDescent="0.35">
      <c r="S910" s="1"/>
    </row>
    <row r="911" spans="19:19" x14ac:dyDescent="0.35">
      <c r="S911" s="1"/>
    </row>
    <row r="912" spans="19:19" x14ac:dyDescent="0.35">
      <c r="S912" s="1"/>
    </row>
    <row r="913" spans="19:19" x14ac:dyDescent="0.35">
      <c r="S913" s="1"/>
    </row>
    <row r="914" spans="19:19" x14ac:dyDescent="0.35">
      <c r="S914" s="1"/>
    </row>
    <row r="915" spans="19:19" x14ac:dyDescent="0.35">
      <c r="S915" s="1"/>
    </row>
    <row r="916" spans="19:19" x14ac:dyDescent="0.35">
      <c r="S916" s="1"/>
    </row>
    <row r="917" spans="19:19" x14ac:dyDescent="0.35">
      <c r="S917" s="1"/>
    </row>
    <row r="918" spans="19:19" x14ac:dyDescent="0.35">
      <c r="S918" s="1"/>
    </row>
    <row r="919" spans="19:19" x14ac:dyDescent="0.35">
      <c r="S919" s="1"/>
    </row>
    <row r="920" spans="19:19" x14ac:dyDescent="0.35">
      <c r="S920" s="1"/>
    </row>
    <row r="921" spans="19:19" x14ac:dyDescent="0.35">
      <c r="S921" s="1"/>
    </row>
    <row r="922" spans="19:19" x14ac:dyDescent="0.35">
      <c r="S922" s="1"/>
    </row>
    <row r="923" spans="19:19" x14ac:dyDescent="0.35">
      <c r="S923" s="1"/>
    </row>
    <row r="924" spans="19:19" x14ac:dyDescent="0.35">
      <c r="S924" s="1"/>
    </row>
    <row r="925" spans="19:19" x14ac:dyDescent="0.35">
      <c r="S925" s="1"/>
    </row>
    <row r="926" spans="19:19" x14ac:dyDescent="0.35">
      <c r="S926" s="1"/>
    </row>
    <row r="927" spans="19:19" x14ac:dyDescent="0.35">
      <c r="S927" s="1"/>
    </row>
    <row r="928" spans="19:19" x14ac:dyDescent="0.35">
      <c r="S928" s="1"/>
    </row>
    <row r="929" spans="19:19" x14ac:dyDescent="0.35">
      <c r="S929" s="1"/>
    </row>
    <row r="930" spans="19:19" x14ac:dyDescent="0.35">
      <c r="S930" s="1"/>
    </row>
    <row r="931" spans="19:19" x14ac:dyDescent="0.35">
      <c r="S931" s="1"/>
    </row>
    <row r="932" spans="19:19" x14ac:dyDescent="0.35">
      <c r="S932" s="1"/>
    </row>
    <row r="933" spans="19:19" x14ac:dyDescent="0.35">
      <c r="S933" s="1"/>
    </row>
    <row r="934" spans="19:19" x14ac:dyDescent="0.35">
      <c r="S934" s="1"/>
    </row>
    <row r="935" spans="19:19" x14ac:dyDescent="0.35">
      <c r="S935" s="1"/>
    </row>
    <row r="936" spans="19:19" x14ac:dyDescent="0.35">
      <c r="S936" s="1"/>
    </row>
    <row r="937" spans="19:19" x14ac:dyDescent="0.35">
      <c r="S937" s="1"/>
    </row>
    <row r="938" spans="19:19" x14ac:dyDescent="0.35">
      <c r="S938" s="1"/>
    </row>
    <row r="939" spans="19:19" x14ac:dyDescent="0.35">
      <c r="S939" s="1"/>
    </row>
    <row r="940" spans="19:19" x14ac:dyDescent="0.35">
      <c r="S940" s="1"/>
    </row>
    <row r="941" spans="19:19" x14ac:dyDescent="0.35">
      <c r="S941" s="1"/>
    </row>
    <row r="942" spans="19:19" x14ac:dyDescent="0.35">
      <c r="S942" s="1"/>
    </row>
    <row r="943" spans="19:19" x14ac:dyDescent="0.35">
      <c r="S943" s="1"/>
    </row>
    <row r="944" spans="19:19" x14ac:dyDescent="0.35">
      <c r="S944" s="1"/>
    </row>
    <row r="945" spans="19:19" x14ac:dyDescent="0.35">
      <c r="S945" s="1"/>
    </row>
    <row r="946" spans="19:19" x14ac:dyDescent="0.35">
      <c r="S946" s="1"/>
    </row>
    <row r="947" spans="19:19" x14ac:dyDescent="0.35">
      <c r="S947" s="1"/>
    </row>
    <row r="948" spans="19:19" x14ac:dyDescent="0.35">
      <c r="S948" s="1"/>
    </row>
    <row r="949" spans="19:19" x14ac:dyDescent="0.35">
      <c r="S949" s="1"/>
    </row>
    <row r="950" spans="19:19" x14ac:dyDescent="0.35">
      <c r="S950" s="1"/>
    </row>
    <row r="951" spans="19:19" x14ac:dyDescent="0.35">
      <c r="S951" s="1"/>
    </row>
    <row r="952" spans="19:19" x14ac:dyDescent="0.35">
      <c r="S952" s="1"/>
    </row>
    <row r="953" spans="19:19" x14ac:dyDescent="0.35">
      <c r="S953" s="1"/>
    </row>
    <row r="954" spans="19:19" x14ac:dyDescent="0.35">
      <c r="S954" s="1"/>
    </row>
    <row r="955" spans="19:19" x14ac:dyDescent="0.35">
      <c r="S955" s="1"/>
    </row>
    <row r="956" spans="19:19" x14ac:dyDescent="0.35">
      <c r="S956" s="1"/>
    </row>
    <row r="957" spans="19:19" x14ac:dyDescent="0.35">
      <c r="S957" s="1"/>
    </row>
    <row r="958" spans="19:19" x14ac:dyDescent="0.35">
      <c r="S958" s="1"/>
    </row>
    <row r="959" spans="19:19" x14ac:dyDescent="0.35">
      <c r="S959" s="1"/>
    </row>
    <row r="960" spans="19:19" x14ac:dyDescent="0.35">
      <c r="S960" s="1"/>
    </row>
    <row r="961" spans="19:19" x14ac:dyDescent="0.35">
      <c r="S961" s="1"/>
    </row>
    <row r="962" spans="19:19" x14ac:dyDescent="0.35">
      <c r="S962" s="1"/>
    </row>
    <row r="963" spans="19:19" x14ac:dyDescent="0.35">
      <c r="S963" s="1"/>
    </row>
    <row r="964" spans="19:19" x14ac:dyDescent="0.35">
      <c r="S964" s="1"/>
    </row>
    <row r="965" spans="19:19" x14ac:dyDescent="0.35">
      <c r="S965" s="1"/>
    </row>
    <row r="966" spans="19:19" x14ac:dyDescent="0.35">
      <c r="S966" s="1"/>
    </row>
    <row r="967" spans="19:19" x14ac:dyDescent="0.35">
      <c r="S967" s="1"/>
    </row>
    <row r="968" spans="19:19" x14ac:dyDescent="0.35">
      <c r="S968" s="1"/>
    </row>
    <row r="969" spans="19:19" x14ac:dyDescent="0.35">
      <c r="S969" s="1"/>
    </row>
    <row r="970" spans="19:19" x14ac:dyDescent="0.35">
      <c r="S970" s="1"/>
    </row>
    <row r="971" spans="19:19" x14ac:dyDescent="0.35">
      <c r="S971" s="1"/>
    </row>
    <row r="972" spans="19:19" x14ac:dyDescent="0.35">
      <c r="S972" s="1"/>
    </row>
    <row r="973" spans="19:19" x14ac:dyDescent="0.35">
      <c r="S973" s="1"/>
    </row>
    <row r="974" spans="19:19" x14ac:dyDescent="0.35">
      <c r="S974" s="1"/>
    </row>
    <row r="975" spans="19:19" x14ac:dyDescent="0.35">
      <c r="S975" s="1"/>
    </row>
    <row r="976" spans="19:19" x14ac:dyDescent="0.35">
      <c r="S976" s="1"/>
    </row>
    <row r="977" spans="19:19" x14ac:dyDescent="0.35">
      <c r="S977" s="1"/>
    </row>
    <row r="978" spans="19:19" x14ac:dyDescent="0.35">
      <c r="S978" s="1"/>
    </row>
    <row r="979" spans="19:19" x14ac:dyDescent="0.35">
      <c r="S979" s="1"/>
    </row>
    <row r="980" spans="19:19" x14ac:dyDescent="0.35">
      <c r="S980" s="1"/>
    </row>
    <row r="981" spans="19:19" x14ac:dyDescent="0.35">
      <c r="S981" s="1"/>
    </row>
    <row r="982" spans="19:19" x14ac:dyDescent="0.35">
      <c r="S982" s="1"/>
    </row>
    <row r="983" spans="19:19" x14ac:dyDescent="0.35">
      <c r="S983" s="1"/>
    </row>
    <row r="984" spans="19:19" x14ac:dyDescent="0.35">
      <c r="S984" s="1"/>
    </row>
    <row r="985" spans="19:19" x14ac:dyDescent="0.35">
      <c r="S985" s="1"/>
    </row>
    <row r="986" spans="19:19" x14ac:dyDescent="0.35">
      <c r="S986" s="1"/>
    </row>
    <row r="987" spans="19:19" x14ac:dyDescent="0.35">
      <c r="S987" s="1"/>
    </row>
    <row r="988" spans="19:19" x14ac:dyDescent="0.35">
      <c r="S988" s="1"/>
    </row>
    <row r="989" spans="19:19" x14ac:dyDescent="0.35">
      <c r="S989" s="1"/>
    </row>
    <row r="990" spans="19:19" x14ac:dyDescent="0.35">
      <c r="S990" s="1"/>
    </row>
    <row r="991" spans="19:19" x14ac:dyDescent="0.35">
      <c r="S991" s="1"/>
    </row>
    <row r="992" spans="19:19" x14ac:dyDescent="0.35">
      <c r="S992" s="1"/>
    </row>
    <row r="993" spans="19:19" x14ac:dyDescent="0.35">
      <c r="S993" s="1"/>
    </row>
    <row r="994" spans="19:19" x14ac:dyDescent="0.35">
      <c r="S994" s="1"/>
    </row>
    <row r="995" spans="19:19" x14ac:dyDescent="0.35">
      <c r="S995" s="1"/>
    </row>
    <row r="996" spans="19:19" x14ac:dyDescent="0.35">
      <c r="S996" s="1"/>
    </row>
    <row r="997" spans="19:19" x14ac:dyDescent="0.35">
      <c r="S997" s="1"/>
    </row>
    <row r="998" spans="19:19" x14ac:dyDescent="0.35">
      <c r="S998" s="1"/>
    </row>
    <row r="999" spans="19:19" x14ac:dyDescent="0.35">
      <c r="S999" s="1"/>
    </row>
    <row r="1000" spans="19:19" x14ac:dyDescent="0.35">
      <c r="S1000" s="1"/>
    </row>
    <row r="1001" spans="19:19" x14ac:dyDescent="0.35">
      <c r="S1001" s="1"/>
    </row>
    <row r="1002" spans="19:19" x14ac:dyDescent="0.35">
      <c r="S1002" s="1"/>
    </row>
    <row r="1003" spans="19:19" x14ac:dyDescent="0.35">
      <c r="S1003" s="1"/>
    </row>
    <row r="1004" spans="19:19" x14ac:dyDescent="0.35">
      <c r="S1004" s="1"/>
    </row>
    <row r="1005" spans="19:19" x14ac:dyDescent="0.35">
      <c r="S1005" s="1"/>
    </row>
    <row r="1006" spans="19:19" x14ac:dyDescent="0.35">
      <c r="S1006" s="1"/>
    </row>
    <row r="1007" spans="19:19" x14ac:dyDescent="0.35">
      <c r="S1007" s="1"/>
    </row>
    <row r="1008" spans="19:19" x14ac:dyDescent="0.35">
      <c r="S1008" s="1"/>
    </row>
    <row r="1009" spans="19:19" x14ac:dyDescent="0.35">
      <c r="S1009" s="1"/>
    </row>
    <row r="1010" spans="19:19" x14ac:dyDescent="0.35">
      <c r="S1010" s="1"/>
    </row>
    <row r="1011" spans="19:19" x14ac:dyDescent="0.35">
      <c r="S1011" s="1"/>
    </row>
    <row r="1012" spans="19:19" x14ac:dyDescent="0.35">
      <c r="S1012" s="1"/>
    </row>
    <row r="1013" spans="19:19" x14ac:dyDescent="0.35">
      <c r="S1013" s="1"/>
    </row>
    <row r="1014" spans="19:19" x14ac:dyDescent="0.35">
      <c r="S1014" s="1"/>
    </row>
    <row r="1015" spans="19:19" x14ac:dyDescent="0.35">
      <c r="S1015" s="1"/>
    </row>
    <row r="1016" spans="19:19" x14ac:dyDescent="0.35">
      <c r="S1016" s="1"/>
    </row>
    <row r="1017" spans="19:19" x14ac:dyDescent="0.35">
      <c r="S1017" s="1"/>
    </row>
    <row r="1018" spans="19:19" x14ac:dyDescent="0.35">
      <c r="S1018" s="1"/>
    </row>
    <row r="1019" spans="19:19" x14ac:dyDescent="0.35">
      <c r="S1019" s="1"/>
    </row>
    <row r="1020" spans="19:19" x14ac:dyDescent="0.35">
      <c r="S1020" s="1"/>
    </row>
    <row r="1021" spans="19:19" x14ac:dyDescent="0.35">
      <c r="S1021" s="1"/>
    </row>
    <row r="1022" spans="19:19" x14ac:dyDescent="0.35">
      <c r="S1022" s="1"/>
    </row>
    <row r="1023" spans="19:19" x14ac:dyDescent="0.35">
      <c r="S1023" s="1"/>
    </row>
    <row r="1024" spans="19:19" x14ac:dyDescent="0.35">
      <c r="S1024" s="1"/>
    </row>
    <row r="1025" spans="19:19" x14ac:dyDescent="0.35">
      <c r="S1025" s="1"/>
    </row>
    <row r="1026" spans="19:19" x14ac:dyDescent="0.35">
      <c r="S1026" s="1"/>
    </row>
    <row r="1027" spans="19:19" x14ac:dyDescent="0.35">
      <c r="S1027" s="1"/>
    </row>
    <row r="1028" spans="19:19" x14ac:dyDescent="0.35">
      <c r="S1028" s="1"/>
    </row>
    <row r="1029" spans="19:19" x14ac:dyDescent="0.35">
      <c r="S1029" s="1"/>
    </row>
    <row r="1030" spans="19:19" x14ac:dyDescent="0.35">
      <c r="S1030" s="1"/>
    </row>
    <row r="1031" spans="19:19" x14ac:dyDescent="0.35">
      <c r="S1031" s="1"/>
    </row>
    <row r="1032" spans="19:19" x14ac:dyDescent="0.35">
      <c r="S1032" s="1"/>
    </row>
    <row r="1033" spans="19:19" x14ac:dyDescent="0.35">
      <c r="S1033" s="1"/>
    </row>
    <row r="1034" spans="19:19" x14ac:dyDescent="0.35">
      <c r="S1034" s="1"/>
    </row>
    <row r="1035" spans="19:19" x14ac:dyDescent="0.35">
      <c r="S1035" s="1"/>
    </row>
    <row r="1036" spans="19:19" x14ac:dyDescent="0.35">
      <c r="S1036" s="1"/>
    </row>
    <row r="1037" spans="19:19" x14ac:dyDescent="0.35">
      <c r="S1037" s="1"/>
    </row>
    <row r="1038" spans="19:19" x14ac:dyDescent="0.35">
      <c r="S1038" s="1"/>
    </row>
    <row r="1039" spans="19:19" x14ac:dyDescent="0.35">
      <c r="S1039" s="1"/>
    </row>
    <row r="1040" spans="19:19" x14ac:dyDescent="0.35">
      <c r="S1040" s="1"/>
    </row>
    <row r="1041" spans="19:19" x14ac:dyDescent="0.35">
      <c r="S1041" s="1"/>
    </row>
    <row r="1042" spans="19:19" x14ac:dyDescent="0.35">
      <c r="S1042" s="1"/>
    </row>
    <row r="1043" spans="19:19" x14ac:dyDescent="0.35">
      <c r="S1043" s="1"/>
    </row>
    <row r="1044" spans="19:19" x14ac:dyDescent="0.35">
      <c r="S1044" s="1"/>
    </row>
    <row r="1045" spans="19:19" x14ac:dyDescent="0.35">
      <c r="S1045" s="1"/>
    </row>
    <row r="1046" spans="19:19" x14ac:dyDescent="0.35">
      <c r="S1046" s="1"/>
    </row>
    <row r="1047" spans="19:19" x14ac:dyDescent="0.35">
      <c r="S1047" s="1"/>
    </row>
    <row r="1048" spans="19:19" x14ac:dyDescent="0.35">
      <c r="S1048" s="1"/>
    </row>
    <row r="1049" spans="19:19" x14ac:dyDescent="0.35">
      <c r="S1049" s="1"/>
    </row>
    <row r="1050" spans="19:19" x14ac:dyDescent="0.35">
      <c r="S1050" s="1"/>
    </row>
    <row r="1051" spans="19:19" x14ac:dyDescent="0.35">
      <c r="S1051" s="1"/>
    </row>
    <row r="1052" spans="19:19" x14ac:dyDescent="0.35">
      <c r="S1052" s="1"/>
    </row>
    <row r="1053" spans="19:19" x14ac:dyDescent="0.35">
      <c r="S1053" s="1"/>
    </row>
    <row r="1054" spans="19:19" x14ac:dyDescent="0.35">
      <c r="S1054" s="1"/>
    </row>
    <row r="1055" spans="19:19" x14ac:dyDescent="0.35">
      <c r="S1055" s="1"/>
    </row>
    <row r="1056" spans="19:19" x14ac:dyDescent="0.35">
      <c r="S1056" s="1"/>
    </row>
    <row r="1057" spans="19:19" x14ac:dyDescent="0.35">
      <c r="S1057" s="1"/>
    </row>
    <row r="1058" spans="19:19" x14ac:dyDescent="0.35">
      <c r="S1058" s="1"/>
    </row>
    <row r="1059" spans="19:19" x14ac:dyDescent="0.35">
      <c r="S1059" s="1"/>
    </row>
    <row r="1060" spans="19:19" x14ac:dyDescent="0.35">
      <c r="S1060" s="1"/>
    </row>
    <row r="1061" spans="19:19" x14ac:dyDescent="0.35">
      <c r="S1061" s="1"/>
    </row>
    <row r="1062" spans="19:19" x14ac:dyDescent="0.35">
      <c r="S1062" s="1"/>
    </row>
    <row r="1063" spans="19:19" x14ac:dyDescent="0.35">
      <c r="S1063" s="1"/>
    </row>
    <row r="1064" spans="19:19" x14ac:dyDescent="0.35">
      <c r="S1064" s="1"/>
    </row>
    <row r="1065" spans="19:19" x14ac:dyDescent="0.35">
      <c r="S1065" s="1"/>
    </row>
    <row r="1066" spans="19:19" x14ac:dyDescent="0.35">
      <c r="S1066" s="1"/>
    </row>
    <row r="1067" spans="19:19" x14ac:dyDescent="0.35">
      <c r="S1067" s="1"/>
    </row>
    <row r="1068" spans="19:19" x14ac:dyDescent="0.35">
      <c r="S1068" s="1"/>
    </row>
    <row r="1069" spans="19:19" x14ac:dyDescent="0.35">
      <c r="S1069" s="1"/>
    </row>
    <row r="1070" spans="19:19" x14ac:dyDescent="0.35">
      <c r="S1070" s="1"/>
    </row>
    <row r="1071" spans="19:19" x14ac:dyDescent="0.35">
      <c r="S1071" s="1"/>
    </row>
    <row r="1072" spans="19:19" x14ac:dyDescent="0.35">
      <c r="S1072" s="1"/>
    </row>
    <row r="1073" spans="19:19" x14ac:dyDescent="0.35">
      <c r="S1073" s="1"/>
    </row>
    <row r="1074" spans="19:19" x14ac:dyDescent="0.35">
      <c r="S1074" s="1"/>
    </row>
    <row r="1075" spans="19:19" x14ac:dyDescent="0.35">
      <c r="S1075" s="1"/>
    </row>
    <row r="1076" spans="19:19" x14ac:dyDescent="0.35">
      <c r="S1076" s="1"/>
    </row>
    <row r="1077" spans="19:19" x14ac:dyDescent="0.35">
      <c r="S1077" s="1"/>
    </row>
    <row r="1078" spans="19:19" x14ac:dyDescent="0.35">
      <c r="S1078" s="1"/>
    </row>
    <row r="1079" spans="19:19" x14ac:dyDescent="0.35">
      <c r="S1079" s="1"/>
    </row>
    <row r="1080" spans="19:19" x14ac:dyDescent="0.35">
      <c r="S1080" s="1"/>
    </row>
    <row r="1081" spans="19:19" x14ac:dyDescent="0.35">
      <c r="S1081" s="1"/>
    </row>
    <row r="1082" spans="19:19" x14ac:dyDescent="0.35">
      <c r="S1082" s="1"/>
    </row>
    <row r="1083" spans="19:19" x14ac:dyDescent="0.35">
      <c r="S1083" s="1"/>
    </row>
    <row r="1084" spans="19:19" x14ac:dyDescent="0.35">
      <c r="S1084" s="1"/>
    </row>
    <row r="1085" spans="19:19" x14ac:dyDescent="0.35">
      <c r="S1085" s="1"/>
    </row>
    <row r="1086" spans="19:19" x14ac:dyDescent="0.35">
      <c r="S1086" s="1"/>
    </row>
    <row r="1087" spans="19:19" x14ac:dyDescent="0.35">
      <c r="S1087" s="1"/>
    </row>
    <row r="1088" spans="19:19" x14ac:dyDescent="0.35">
      <c r="S1088" s="1"/>
    </row>
    <row r="1089" spans="19:19" x14ac:dyDescent="0.35">
      <c r="S1089" s="1"/>
    </row>
    <row r="1090" spans="19:19" x14ac:dyDescent="0.35">
      <c r="S1090" s="1"/>
    </row>
    <row r="1091" spans="19:19" x14ac:dyDescent="0.35">
      <c r="S1091" s="1"/>
    </row>
    <row r="1092" spans="19:19" x14ac:dyDescent="0.35">
      <c r="S1092" s="1"/>
    </row>
    <row r="1093" spans="19:19" x14ac:dyDescent="0.35">
      <c r="S1093" s="1"/>
    </row>
    <row r="1094" spans="19:19" x14ac:dyDescent="0.35">
      <c r="S1094" s="1"/>
    </row>
    <row r="1095" spans="19:19" x14ac:dyDescent="0.35">
      <c r="S1095" s="1"/>
    </row>
    <row r="1096" spans="19:19" x14ac:dyDescent="0.35">
      <c r="S1096" s="1"/>
    </row>
    <row r="1097" spans="19:19" x14ac:dyDescent="0.35">
      <c r="S1097" s="1"/>
    </row>
    <row r="1098" spans="19:19" x14ac:dyDescent="0.35">
      <c r="S1098" s="1"/>
    </row>
    <row r="1099" spans="19:19" x14ac:dyDescent="0.35">
      <c r="S1099" s="1"/>
    </row>
    <row r="1100" spans="19:19" x14ac:dyDescent="0.35">
      <c r="S1100" s="1"/>
    </row>
    <row r="1101" spans="19:19" x14ac:dyDescent="0.35">
      <c r="S1101" s="1"/>
    </row>
    <row r="1102" spans="19:19" x14ac:dyDescent="0.35">
      <c r="S1102" s="1"/>
    </row>
    <row r="1103" spans="19:19" x14ac:dyDescent="0.35">
      <c r="S1103" s="1"/>
    </row>
    <row r="1104" spans="19:19" x14ac:dyDescent="0.35">
      <c r="S1104" s="1"/>
    </row>
    <row r="1105" spans="19:19" x14ac:dyDescent="0.35">
      <c r="S1105" s="1"/>
    </row>
    <row r="1106" spans="19:19" x14ac:dyDescent="0.35">
      <c r="S1106" s="1"/>
    </row>
    <row r="1107" spans="19:19" x14ac:dyDescent="0.35">
      <c r="S1107" s="1"/>
    </row>
    <row r="1108" spans="19:19" x14ac:dyDescent="0.35">
      <c r="S1108" s="1"/>
    </row>
    <row r="1109" spans="19:19" x14ac:dyDescent="0.35">
      <c r="S1109" s="1"/>
    </row>
    <row r="1110" spans="19:19" x14ac:dyDescent="0.35">
      <c r="S1110" s="1"/>
    </row>
    <row r="1111" spans="19:19" x14ac:dyDescent="0.35">
      <c r="S1111" s="1"/>
    </row>
    <row r="1112" spans="19:19" x14ac:dyDescent="0.35">
      <c r="S1112" s="1"/>
    </row>
    <row r="1113" spans="19:19" x14ac:dyDescent="0.35">
      <c r="S1113" s="1"/>
    </row>
    <row r="1114" spans="19:19" x14ac:dyDescent="0.35">
      <c r="S1114" s="1"/>
    </row>
    <row r="1115" spans="19:19" x14ac:dyDescent="0.35">
      <c r="S1115" s="1"/>
    </row>
    <row r="1116" spans="19:19" x14ac:dyDescent="0.35">
      <c r="S1116" s="1"/>
    </row>
    <row r="1117" spans="19:19" x14ac:dyDescent="0.35">
      <c r="S1117" s="1"/>
    </row>
    <row r="1118" spans="19:19" x14ac:dyDescent="0.35">
      <c r="S1118" s="1"/>
    </row>
    <row r="1119" spans="19:19" x14ac:dyDescent="0.35">
      <c r="S1119" s="1"/>
    </row>
    <row r="1120" spans="19:19" x14ac:dyDescent="0.35">
      <c r="S1120" s="1"/>
    </row>
    <row r="1121" spans="19:19" x14ac:dyDescent="0.35">
      <c r="S1121" s="1"/>
    </row>
    <row r="1122" spans="19:19" x14ac:dyDescent="0.35">
      <c r="S11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7895-B56D-450A-87AA-101A7F851333}">
  <dimension ref="A1:S632"/>
  <sheetViews>
    <sheetView tabSelected="1" workbookViewId="0">
      <selection activeCell="R35" sqref="R34:R35"/>
    </sheetView>
  </sheetViews>
  <sheetFormatPr defaultRowHeight="14.5" x14ac:dyDescent="0.35"/>
  <cols>
    <col min="1" max="1" width="10.08984375" bestFit="1" customWidth="1"/>
    <col min="19" max="19" width="10.08984375" bestFit="1" customWidth="1"/>
    <col min="24" max="24" width="20.81640625" bestFit="1" customWidth="1"/>
    <col min="25" max="25" width="9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</v>
      </c>
      <c r="O1" t="s">
        <v>12</v>
      </c>
    </row>
    <row r="2" spans="1:19" x14ac:dyDescent="0.35">
      <c r="A2" s="1">
        <v>43951</v>
      </c>
      <c r="B2">
        <v>5.35</v>
      </c>
      <c r="C2">
        <v>6.41</v>
      </c>
      <c r="D2">
        <v>7.93</v>
      </c>
      <c r="E2">
        <v>8.89</v>
      </c>
      <c r="F2">
        <v>9.5</v>
      </c>
      <c r="G2">
        <v>10.14</v>
      </c>
      <c r="H2">
        <v>10.3</v>
      </c>
      <c r="I2">
        <v>10.4</v>
      </c>
      <c r="J2">
        <v>10.52</v>
      </c>
      <c r="K2">
        <v>10.57</v>
      </c>
      <c r="L2">
        <v>10.59</v>
      </c>
      <c r="M2">
        <v>10.6</v>
      </c>
      <c r="N2">
        <v>10.61</v>
      </c>
      <c r="O2">
        <v>10.62</v>
      </c>
    </row>
    <row r="3" spans="1:19" x14ac:dyDescent="0.35">
      <c r="A3" s="1">
        <v>43982</v>
      </c>
      <c r="B3">
        <v>5.47</v>
      </c>
      <c r="C3">
        <v>6.51</v>
      </c>
      <c r="D3">
        <v>8</v>
      </c>
      <c r="E3">
        <v>8.9499999999999993</v>
      </c>
      <c r="F3">
        <v>9.5500000000000007</v>
      </c>
      <c r="G3">
        <v>10.19</v>
      </c>
      <c r="H3">
        <v>10.35</v>
      </c>
      <c r="I3">
        <v>10.46</v>
      </c>
      <c r="J3">
        <v>10.58</v>
      </c>
      <c r="K3">
        <v>10.64</v>
      </c>
      <c r="L3">
        <v>10.67</v>
      </c>
      <c r="M3">
        <v>10.68</v>
      </c>
      <c r="N3">
        <v>10.69</v>
      </c>
      <c r="O3">
        <v>10.7</v>
      </c>
      <c r="S3" s="1"/>
    </row>
    <row r="4" spans="1:19" x14ac:dyDescent="0.35">
      <c r="A4" s="1">
        <v>44012</v>
      </c>
      <c r="B4">
        <v>5.32</v>
      </c>
      <c r="C4">
        <v>6.54</v>
      </c>
      <c r="D4">
        <v>8.2799999999999994</v>
      </c>
      <c r="E4">
        <v>9.39</v>
      </c>
      <c r="F4">
        <v>10.1</v>
      </c>
      <c r="G4">
        <v>10.85</v>
      </c>
      <c r="H4">
        <v>11.04</v>
      </c>
      <c r="I4">
        <v>11.17</v>
      </c>
      <c r="J4">
        <v>11.31</v>
      </c>
      <c r="K4">
        <v>11.38</v>
      </c>
      <c r="L4">
        <v>11.41</v>
      </c>
      <c r="M4">
        <v>11.43</v>
      </c>
      <c r="N4">
        <v>11.45</v>
      </c>
      <c r="O4">
        <v>11.46</v>
      </c>
      <c r="S4" s="1"/>
    </row>
    <row r="5" spans="1:19" x14ac:dyDescent="0.35">
      <c r="A5" s="1">
        <v>44043</v>
      </c>
      <c r="B5">
        <v>5.5</v>
      </c>
      <c r="C5">
        <v>6.52</v>
      </c>
      <c r="D5">
        <v>7.94</v>
      </c>
      <c r="E5">
        <v>8.7799999999999994</v>
      </c>
      <c r="F5">
        <v>9.27</v>
      </c>
      <c r="G5">
        <v>9.6999999999999993</v>
      </c>
      <c r="H5">
        <v>9.77</v>
      </c>
      <c r="I5">
        <v>9.7899999999999991</v>
      </c>
      <c r="J5">
        <v>9.7799999999999994</v>
      </c>
      <c r="K5">
        <v>9.73</v>
      </c>
      <c r="L5">
        <v>9.68</v>
      </c>
      <c r="M5">
        <v>9.64</v>
      </c>
      <c r="N5">
        <v>9.6</v>
      </c>
      <c r="O5">
        <v>9.57</v>
      </c>
      <c r="S5" s="1"/>
    </row>
    <row r="6" spans="1:19" x14ac:dyDescent="0.35">
      <c r="A6" s="1">
        <v>44104</v>
      </c>
      <c r="B6">
        <v>6.47</v>
      </c>
      <c r="C6">
        <v>7.31</v>
      </c>
      <c r="D6">
        <v>8.52</v>
      </c>
      <c r="E6">
        <v>9.32</v>
      </c>
      <c r="F6">
        <v>9.84</v>
      </c>
      <c r="G6">
        <v>10.42</v>
      </c>
      <c r="H6">
        <v>10.57</v>
      </c>
      <c r="I6">
        <v>10.69</v>
      </c>
      <c r="J6">
        <v>10.82</v>
      </c>
      <c r="K6">
        <v>10.9</v>
      </c>
      <c r="L6">
        <v>10.95</v>
      </c>
      <c r="M6">
        <v>10.98</v>
      </c>
      <c r="N6">
        <v>11</v>
      </c>
      <c r="O6">
        <v>11.02</v>
      </c>
      <c r="S6" s="1"/>
    </row>
    <row r="7" spans="1:19" x14ac:dyDescent="0.35">
      <c r="A7" s="1">
        <v>44196</v>
      </c>
      <c r="B7">
        <v>6.94</v>
      </c>
      <c r="C7">
        <v>7.74</v>
      </c>
      <c r="D7">
        <v>8.9</v>
      </c>
      <c r="E7">
        <v>9.65</v>
      </c>
      <c r="F7">
        <v>10.130000000000001</v>
      </c>
      <c r="G7">
        <v>10.66</v>
      </c>
      <c r="H7">
        <v>10.81</v>
      </c>
      <c r="I7">
        <v>10.91</v>
      </c>
      <c r="J7">
        <v>11.02</v>
      </c>
      <c r="K7">
        <v>11.09</v>
      </c>
      <c r="L7">
        <v>11.12</v>
      </c>
      <c r="M7">
        <v>11.15</v>
      </c>
      <c r="N7">
        <v>11.17</v>
      </c>
      <c r="O7">
        <v>11.18</v>
      </c>
      <c r="S7" s="1"/>
    </row>
    <row r="8" spans="1:19" x14ac:dyDescent="0.35">
      <c r="A8" s="1">
        <v>44227</v>
      </c>
      <c r="B8">
        <v>6.77</v>
      </c>
      <c r="C8">
        <v>7.43</v>
      </c>
      <c r="D8">
        <v>8.35</v>
      </c>
      <c r="E8">
        <v>8.93</v>
      </c>
      <c r="F8">
        <v>9.2799999999999994</v>
      </c>
      <c r="G8">
        <v>9.6300000000000008</v>
      </c>
      <c r="H8">
        <v>9.7100000000000009</v>
      </c>
      <c r="I8">
        <v>9.75</v>
      </c>
      <c r="J8">
        <v>9.7899999999999991</v>
      </c>
      <c r="K8">
        <v>9.8000000000000007</v>
      </c>
      <c r="L8">
        <v>9.8000000000000007</v>
      </c>
      <c r="M8">
        <v>9.8000000000000007</v>
      </c>
      <c r="N8">
        <v>9.7899999999999991</v>
      </c>
      <c r="O8">
        <v>9.7899999999999991</v>
      </c>
      <c r="S8" s="1"/>
    </row>
    <row r="9" spans="1:19" x14ac:dyDescent="0.35">
      <c r="A9" s="1">
        <v>44255</v>
      </c>
      <c r="B9">
        <v>7.06</v>
      </c>
      <c r="C9">
        <v>7.5</v>
      </c>
      <c r="D9">
        <v>8.08</v>
      </c>
      <c r="E9">
        <v>8.39</v>
      </c>
      <c r="F9">
        <v>8.5500000000000007</v>
      </c>
      <c r="G9">
        <v>8.6199999999999992</v>
      </c>
      <c r="H9">
        <v>8.61</v>
      </c>
      <c r="I9">
        <v>8.58</v>
      </c>
      <c r="J9">
        <v>8.5</v>
      </c>
      <c r="K9">
        <v>8.43</v>
      </c>
      <c r="L9">
        <v>8.3699999999999992</v>
      </c>
      <c r="M9">
        <v>8.32</v>
      </c>
      <c r="N9">
        <v>8.2799999999999994</v>
      </c>
      <c r="O9">
        <v>8.25</v>
      </c>
      <c r="S9" s="1"/>
    </row>
    <row r="10" spans="1:19" x14ac:dyDescent="0.35">
      <c r="A10" s="1">
        <v>44316</v>
      </c>
      <c r="B10">
        <v>7.16</v>
      </c>
      <c r="C10">
        <v>7.63</v>
      </c>
      <c r="D10">
        <v>8.23</v>
      </c>
      <c r="E10">
        <v>8.5399999999999991</v>
      </c>
      <c r="F10">
        <v>8.67</v>
      </c>
      <c r="G10">
        <v>8.6999999999999993</v>
      </c>
      <c r="H10">
        <v>8.66</v>
      </c>
      <c r="I10">
        <v>8.6</v>
      </c>
      <c r="J10">
        <v>8.49</v>
      </c>
      <c r="K10">
        <v>8.3800000000000008</v>
      </c>
      <c r="L10">
        <v>8.3000000000000007</v>
      </c>
      <c r="M10">
        <v>8.23</v>
      </c>
      <c r="N10">
        <v>8.18</v>
      </c>
      <c r="O10">
        <v>8.1300000000000008</v>
      </c>
      <c r="S10" s="1"/>
    </row>
    <row r="11" spans="1:19" x14ac:dyDescent="0.35">
      <c r="A11" s="1">
        <v>44347</v>
      </c>
      <c r="B11">
        <v>6.84</v>
      </c>
      <c r="C11">
        <v>7.31</v>
      </c>
      <c r="D11">
        <v>7.93</v>
      </c>
      <c r="E11">
        <v>8.24</v>
      </c>
      <c r="F11">
        <v>8.39</v>
      </c>
      <c r="G11">
        <v>8.42</v>
      </c>
      <c r="H11">
        <v>8.3800000000000008</v>
      </c>
      <c r="I11">
        <v>8.33</v>
      </c>
      <c r="J11">
        <v>8.2200000000000006</v>
      </c>
      <c r="K11">
        <v>8.1199999999999992</v>
      </c>
      <c r="L11">
        <v>8.0399999999999991</v>
      </c>
      <c r="M11">
        <v>7.97</v>
      </c>
      <c r="N11">
        <v>7.92</v>
      </c>
      <c r="O11">
        <v>7.87</v>
      </c>
      <c r="S11" s="1"/>
    </row>
    <row r="12" spans="1:19" x14ac:dyDescent="0.35">
      <c r="A12" s="1">
        <v>44377</v>
      </c>
      <c r="B12">
        <v>4.2300000000000004</v>
      </c>
      <c r="C12">
        <v>5.07</v>
      </c>
      <c r="D12">
        <v>6.27</v>
      </c>
      <c r="E12">
        <v>7.03</v>
      </c>
      <c r="F12">
        <v>7.51</v>
      </c>
      <c r="G12">
        <v>8.01</v>
      </c>
      <c r="H12">
        <v>8.14</v>
      </c>
      <c r="I12">
        <v>8.2200000000000006</v>
      </c>
      <c r="J12">
        <v>8.3000000000000007</v>
      </c>
      <c r="K12">
        <v>8.34</v>
      </c>
      <c r="L12">
        <v>8.36</v>
      </c>
      <c r="M12">
        <v>8.3699999999999992</v>
      </c>
      <c r="N12">
        <v>8.3699999999999992</v>
      </c>
      <c r="O12">
        <v>8.3699999999999992</v>
      </c>
      <c r="S12" s="1"/>
    </row>
    <row r="13" spans="1:19" x14ac:dyDescent="0.35">
      <c r="A13" s="1">
        <v>44408</v>
      </c>
      <c r="B13">
        <v>7.56</v>
      </c>
      <c r="C13">
        <v>8.08</v>
      </c>
      <c r="D13">
        <v>8.77</v>
      </c>
      <c r="E13">
        <v>9.15</v>
      </c>
      <c r="F13">
        <v>9.33</v>
      </c>
      <c r="G13">
        <v>9.43</v>
      </c>
      <c r="H13">
        <v>9.41</v>
      </c>
      <c r="I13">
        <v>9.3699999999999992</v>
      </c>
      <c r="J13">
        <v>9.2899999999999991</v>
      </c>
      <c r="K13">
        <v>9.2100000000000009</v>
      </c>
      <c r="L13">
        <v>9.14</v>
      </c>
      <c r="M13">
        <v>9.08</v>
      </c>
      <c r="N13">
        <v>9.0299999999999994</v>
      </c>
      <c r="O13">
        <v>9</v>
      </c>
      <c r="S13" s="1"/>
    </row>
    <row r="14" spans="1:19" x14ac:dyDescent="0.35">
      <c r="A14" s="1">
        <v>44439</v>
      </c>
      <c r="B14">
        <v>7.01</v>
      </c>
      <c r="C14">
        <v>7.72</v>
      </c>
      <c r="D14">
        <v>8.69</v>
      </c>
      <c r="E14">
        <v>9.2799999999999994</v>
      </c>
      <c r="F14">
        <v>9.6300000000000008</v>
      </c>
      <c r="G14">
        <v>9.9499999999999993</v>
      </c>
      <c r="H14">
        <v>10.01</v>
      </c>
      <c r="I14">
        <v>10.039999999999999</v>
      </c>
      <c r="J14">
        <v>10.050000000000001</v>
      </c>
      <c r="K14">
        <v>10.029999999999999</v>
      </c>
      <c r="L14">
        <v>10.01</v>
      </c>
      <c r="M14">
        <v>9.99</v>
      </c>
      <c r="N14">
        <v>9.9700000000000006</v>
      </c>
      <c r="O14">
        <v>9.9600000000000009</v>
      </c>
      <c r="S14" s="1"/>
    </row>
    <row r="15" spans="1:19" x14ac:dyDescent="0.35">
      <c r="A15" s="1">
        <v>44469</v>
      </c>
      <c r="B15">
        <v>7.13</v>
      </c>
      <c r="C15">
        <v>7.72</v>
      </c>
      <c r="D15">
        <v>8.52</v>
      </c>
      <c r="E15">
        <v>8.9700000000000006</v>
      </c>
      <c r="F15">
        <v>9.2200000000000006</v>
      </c>
      <c r="G15">
        <v>9.4</v>
      </c>
      <c r="H15">
        <v>9.41</v>
      </c>
      <c r="I15">
        <v>9.4</v>
      </c>
      <c r="J15">
        <v>9.35</v>
      </c>
      <c r="K15">
        <v>9.2899999999999991</v>
      </c>
      <c r="L15">
        <v>9.24</v>
      </c>
      <c r="M15">
        <v>9.1999999999999993</v>
      </c>
      <c r="N15">
        <v>9.16</v>
      </c>
      <c r="O15">
        <v>9.1300000000000008</v>
      </c>
      <c r="S15" s="1"/>
    </row>
    <row r="16" spans="1:19" x14ac:dyDescent="0.35">
      <c r="A16" s="1">
        <v>44500</v>
      </c>
      <c r="B16">
        <v>6.54</v>
      </c>
      <c r="C16">
        <v>7.22</v>
      </c>
      <c r="D16">
        <v>8.11</v>
      </c>
      <c r="E16">
        <v>8.6</v>
      </c>
      <c r="F16">
        <v>8.86</v>
      </c>
      <c r="G16">
        <v>9.0399999999999991</v>
      </c>
      <c r="H16">
        <v>9.0500000000000007</v>
      </c>
      <c r="I16">
        <v>9.0399999999999991</v>
      </c>
      <c r="J16">
        <v>9</v>
      </c>
      <c r="K16">
        <v>8.9600000000000009</v>
      </c>
      <c r="L16">
        <v>8.92</v>
      </c>
      <c r="M16">
        <v>8.89</v>
      </c>
      <c r="N16">
        <v>8.86</v>
      </c>
      <c r="O16">
        <v>8.84</v>
      </c>
      <c r="S16" s="1"/>
    </row>
    <row r="17" spans="1:19" x14ac:dyDescent="0.35">
      <c r="A17" s="1">
        <v>44530</v>
      </c>
      <c r="B17">
        <v>7</v>
      </c>
      <c r="C17">
        <v>7.7</v>
      </c>
      <c r="D17">
        <v>8.6999999999999993</v>
      </c>
      <c r="E17">
        <v>9.1999999999999993</v>
      </c>
      <c r="F17">
        <v>9.5</v>
      </c>
      <c r="G17">
        <v>9.8000000000000007</v>
      </c>
      <c r="H17">
        <v>9.8000000000000007</v>
      </c>
      <c r="I17">
        <v>9.8000000000000007</v>
      </c>
      <c r="J17">
        <v>9.8000000000000007</v>
      </c>
      <c r="K17">
        <v>9.8000000000000007</v>
      </c>
      <c r="L17">
        <v>9.6999999999999993</v>
      </c>
      <c r="M17">
        <v>9.6999999999999993</v>
      </c>
      <c r="N17">
        <v>9.6999999999999993</v>
      </c>
      <c r="O17">
        <v>9.6999999999999993</v>
      </c>
      <c r="S17" s="1"/>
    </row>
    <row r="18" spans="1:19" x14ac:dyDescent="0.35">
      <c r="A18" s="1">
        <v>44561</v>
      </c>
      <c r="B18">
        <v>7.75</v>
      </c>
      <c r="C18">
        <v>8.4</v>
      </c>
      <c r="D18">
        <v>9.23</v>
      </c>
      <c r="E18">
        <v>9.68</v>
      </c>
      <c r="F18">
        <v>9.9</v>
      </c>
      <c r="G18">
        <v>10.039999999999999</v>
      </c>
      <c r="H18">
        <v>10.039999999999999</v>
      </c>
      <c r="I18">
        <v>10.02</v>
      </c>
      <c r="J18">
        <v>9.9600000000000009</v>
      </c>
      <c r="K18">
        <v>9.91</v>
      </c>
      <c r="L18">
        <v>9.86</v>
      </c>
      <c r="M18">
        <v>9.82</v>
      </c>
      <c r="N18">
        <v>9.7899999999999991</v>
      </c>
      <c r="O18">
        <v>9.77</v>
      </c>
      <c r="S18" s="1"/>
    </row>
    <row r="19" spans="1:19" x14ac:dyDescent="0.35">
      <c r="A19" s="1">
        <v>44592</v>
      </c>
      <c r="B19">
        <v>7.38</v>
      </c>
      <c r="C19">
        <v>8.07</v>
      </c>
      <c r="D19">
        <v>8.98</v>
      </c>
      <c r="E19">
        <v>9.48</v>
      </c>
      <c r="F19">
        <v>9.74</v>
      </c>
      <c r="G19">
        <v>9.93</v>
      </c>
      <c r="H19">
        <v>9.9499999999999993</v>
      </c>
      <c r="I19">
        <v>9.94</v>
      </c>
      <c r="J19">
        <v>9.91</v>
      </c>
      <c r="K19">
        <v>9.8699999999999992</v>
      </c>
      <c r="L19">
        <v>9.83</v>
      </c>
      <c r="M19">
        <v>9.8000000000000007</v>
      </c>
      <c r="N19">
        <v>9.77</v>
      </c>
      <c r="O19">
        <v>9.75</v>
      </c>
      <c r="S19" s="1"/>
    </row>
    <row r="20" spans="1:19" x14ac:dyDescent="0.35">
      <c r="A20" s="1">
        <v>44620</v>
      </c>
      <c r="B20">
        <v>7.5</v>
      </c>
      <c r="C20">
        <v>8.11</v>
      </c>
      <c r="D20">
        <v>8.9</v>
      </c>
      <c r="E20">
        <v>9.31</v>
      </c>
      <c r="F20">
        <v>9.51</v>
      </c>
      <c r="G20">
        <v>9.61</v>
      </c>
      <c r="H20">
        <v>9.59</v>
      </c>
      <c r="I20">
        <v>9.56</v>
      </c>
      <c r="J20">
        <v>9.49</v>
      </c>
      <c r="K20">
        <v>9.43</v>
      </c>
      <c r="L20">
        <v>9.3699999999999992</v>
      </c>
      <c r="M20">
        <v>9.33</v>
      </c>
      <c r="N20">
        <v>9.3000000000000007</v>
      </c>
      <c r="O20">
        <v>9.27</v>
      </c>
      <c r="S20" s="1"/>
    </row>
    <row r="21" spans="1:19" x14ac:dyDescent="0.35">
      <c r="A21" s="1">
        <v>44681</v>
      </c>
      <c r="B21">
        <v>6.25</v>
      </c>
      <c r="C21">
        <v>6.83</v>
      </c>
      <c r="D21">
        <v>7.64</v>
      </c>
      <c r="E21">
        <v>8.14</v>
      </c>
      <c r="F21">
        <v>8.4499999999999993</v>
      </c>
      <c r="G21">
        <v>8.77</v>
      </c>
      <c r="H21">
        <v>8.85</v>
      </c>
      <c r="I21">
        <v>8.9</v>
      </c>
      <c r="J21">
        <v>8.9600000000000009</v>
      </c>
      <c r="K21">
        <v>9</v>
      </c>
      <c r="L21">
        <v>9.02</v>
      </c>
      <c r="M21">
        <v>9.0299999999999994</v>
      </c>
      <c r="N21">
        <v>9.0399999999999991</v>
      </c>
      <c r="O21">
        <v>9.0500000000000007</v>
      </c>
      <c r="S21" s="1"/>
    </row>
    <row r="22" spans="1:19" x14ac:dyDescent="0.35">
      <c r="A22" s="1">
        <v>44712</v>
      </c>
      <c r="B22">
        <v>6.42</v>
      </c>
      <c r="C22">
        <v>7.1</v>
      </c>
      <c r="D22">
        <v>8.01</v>
      </c>
      <c r="E22">
        <v>8.52</v>
      </c>
      <c r="F22">
        <v>8.81</v>
      </c>
      <c r="G22">
        <v>9.0299999999999994</v>
      </c>
      <c r="H22">
        <v>9.06</v>
      </c>
      <c r="I22">
        <v>9.07</v>
      </c>
      <c r="J22">
        <v>9.06</v>
      </c>
      <c r="K22">
        <v>9.0399999999999991</v>
      </c>
      <c r="L22">
        <v>9.01</v>
      </c>
      <c r="M22">
        <v>8.99</v>
      </c>
      <c r="N22">
        <v>8.98</v>
      </c>
      <c r="O22">
        <v>8.9600000000000009</v>
      </c>
      <c r="S22" s="1"/>
    </row>
    <row r="23" spans="1:19" x14ac:dyDescent="0.35">
      <c r="A23" s="1">
        <v>44742</v>
      </c>
      <c r="B23">
        <v>6.42</v>
      </c>
      <c r="C23">
        <v>7.11</v>
      </c>
      <c r="D23">
        <v>8.02</v>
      </c>
      <c r="E23">
        <v>8.5299999999999994</v>
      </c>
      <c r="F23">
        <v>8.82</v>
      </c>
      <c r="G23">
        <v>9.0500000000000007</v>
      </c>
      <c r="H23">
        <v>9.08</v>
      </c>
      <c r="I23">
        <v>9.09</v>
      </c>
      <c r="J23">
        <v>9.08</v>
      </c>
      <c r="K23">
        <v>9.06</v>
      </c>
      <c r="L23">
        <v>9.0399999999999991</v>
      </c>
      <c r="M23">
        <v>9.02</v>
      </c>
      <c r="N23">
        <v>9</v>
      </c>
      <c r="O23">
        <v>8.99</v>
      </c>
      <c r="S23" s="1"/>
    </row>
    <row r="24" spans="1:19" x14ac:dyDescent="0.35">
      <c r="A24" s="1">
        <v>44804</v>
      </c>
      <c r="B24">
        <v>6.07</v>
      </c>
      <c r="C24">
        <v>6.87</v>
      </c>
      <c r="D24">
        <v>7.9</v>
      </c>
      <c r="E24">
        <v>8.44</v>
      </c>
      <c r="F24">
        <v>8.7100000000000009</v>
      </c>
      <c r="G24">
        <v>8.86</v>
      </c>
      <c r="H24">
        <v>8.85</v>
      </c>
      <c r="I24">
        <v>8.82</v>
      </c>
      <c r="J24">
        <v>8.74</v>
      </c>
      <c r="K24">
        <v>8.66</v>
      </c>
      <c r="L24">
        <v>8.6</v>
      </c>
      <c r="M24">
        <v>8.5399999999999991</v>
      </c>
      <c r="N24">
        <v>8.5</v>
      </c>
      <c r="O24">
        <v>8.4700000000000006</v>
      </c>
      <c r="S24" s="1"/>
    </row>
    <row r="25" spans="1:19" x14ac:dyDescent="0.35">
      <c r="A25" s="1">
        <v>44834</v>
      </c>
      <c r="B25">
        <v>6.48</v>
      </c>
      <c r="C25">
        <v>6.6</v>
      </c>
      <c r="D25">
        <v>6.96</v>
      </c>
      <c r="E25">
        <v>7.36</v>
      </c>
      <c r="F25">
        <v>7.76</v>
      </c>
      <c r="G25">
        <v>8.44</v>
      </c>
      <c r="H25">
        <v>8.7100000000000009</v>
      </c>
      <c r="I25">
        <v>8.9499999999999993</v>
      </c>
      <c r="J25">
        <v>9.32</v>
      </c>
      <c r="K25">
        <v>9.59</v>
      </c>
      <c r="L25">
        <v>9.7899999999999991</v>
      </c>
      <c r="M25">
        <v>9.9499999999999993</v>
      </c>
      <c r="N25">
        <v>10.07</v>
      </c>
      <c r="O25">
        <v>10.17</v>
      </c>
      <c r="S25" s="1"/>
    </row>
    <row r="26" spans="1:19" x14ac:dyDescent="0.35">
      <c r="A26" s="1">
        <v>44865</v>
      </c>
      <c r="B26">
        <v>6.13</v>
      </c>
      <c r="C26">
        <v>6.75</v>
      </c>
      <c r="D26">
        <v>7.62</v>
      </c>
      <c r="E26">
        <v>8.15</v>
      </c>
      <c r="F26">
        <v>8.4700000000000006</v>
      </c>
      <c r="G26">
        <v>8.8000000000000007</v>
      </c>
      <c r="H26">
        <v>8.8800000000000008</v>
      </c>
      <c r="I26">
        <v>8.94</v>
      </c>
      <c r="J26">
        <v>9</v>
      </c>
      <c r="K26">
        <v>9.0299999999999994</v>
      </c>
      <c r="L26">
        <v>9.0399999999999991</v>
      </c>
      <c r="M26">
        <v>9.06</v>
      </c>
      <c r="N26">
        <v>9.06</v>
      </c>
      <c r="O26">
        <v>9.07</v>
      </c>
      <c r="S26" s="1"/>
    </row>
    <row r="27" spans="1:19" x14ac:dyDescent="0.35">
      <c r="A27" s="1">
        <v>44895</v>
      </c>
      <c r="B27">
        <v>6.1</v>
      </c>
      <c r="C27">
        <v>6.89</v>
      </c>
      <c r="D27">
        <v>7.87</v>
      </c>
      <c r="E27">
        <v>8.36</v>
      </c>
      <c r="F27">
        <v>8.58</v>
      </c>
      <c r="G27">
        <v>8.6300000000000008</v>
      </c>
      <c r="H27">
        <v>8.58</v>
      </c>
      <c r="I27">
        <v>8.52</v>
      </c>
      <c r="J27">
        <v>8.3800000000000008</v>
      </c>
      <c r="K27">
        <v>8.26</v>
      </c>
      <c r="L27">
        <v>8.17</v>
      </c>
      <c r="M27">
        <v>8.09</v>
      </c>
      <c r="N27">
        <v>8.0299999999999994</v>
      </c>
      <c r="O27">
        <v>7.98</v>
      </c>
      <c r="S27" s="1"/>
    </row>
    <row r="28" spans="1:19" x14ac:dyDescent="0.35">
      <c r="A28" s="1">
        <v>44926</v>
      </c>
      <c r="B28">
        <v>6.12</v>
      </c>
      <c r="C28">
        <v>6.96</v>
      </c>
      <c r="D28">
        <v>8.02</v>
      </c>
      <c r="E28">
        <v>8.58</v>
      </c>
      <c r="F28">
        <v>8.85</v>
      </c>
      <c r="G28">
        <v>8.99</v>
      </c>
      <c r="H28">
        <v>8.9600000000000009</v>
      </c>
      <c r="I28">
        <v>8.92</v>
      </c>
      <c r="J28">
        <v>8.83</v>
      </c>
      <c r="K28">
        <v>8.73</v>
      </c>
      <c r="L28">
        <v>8.66</v>
      </c>
      <c r="M28">
        <v>8.6</v>
      </c>
      <c r="N28">
        <v>8.5500000000000007</v>
      </c>
      <c r="O28">
        <v>8.51</v>
      </c>
      <c r="S28" s="1"/>
    </row>
    <row r="29" spans="1:19" x14ac:dyDescent="0.35">
      <c r="A29" s="1">
        <v>44957</v>
      </c>
      <c r="B29">
        <v>6.48</v>
      </c>
      <c r="C29">
        <v>7.11</v>
      </c>
      <c r="D29">
        <v>7.94</v>
      </c>
      <c r="E29">
        <v>8.39</v>
      </c>
      <c r="F29">
        <v>8.61</v>
      </c>
      <c r="G29">
        <v>8.75</v>
      </c>
      <c r="H29">
        <v>8.75</v>
      </c>
      <c r="I29">
        <v>8.73</v>
      </c>
      <c r="J29">
        <v>8.68</v>
      </c>
      <c r="K29">
        <v>8.6199999999999992</v>
      </c>
      <c r="L29">
        <v>8.58</v>
      </c>
      <c r="M29">
        <v>8.5399999999999991</v>
      </c>
      <c r="N29">
        <v>8.51</v>
      </c>
      <c r="O29">
        <v>8.49</v>
      </c>
      <c r="S29" s="1"/>
    </row>
    <row r="30" spans="1:19" x14ac:dyDescent="0.35">
      <c r="A30" s="1">
        <v>45016</v>
      </c>
      <c r="B30">
        <v>6.05</v>
      </c>
      <c r="C30">
        <v>7.12</v>
      </c>
      <c r="D30">
        <v>8.3699999999999992</v>
      </c>
      <c r="E30">
        <v>8.92</v>
      </c>
      <c r="F30">
        <v>9.08</v>
      </c>
      <c r="G30">
        <v>8.92</v>
      </c>
      <c r="H30">
        <v>8.75</v>
      </c>
      <c r="I30">
        <v>8.58</v>
      </c>
      <c r="J30">
        <v>8.26</v>
      </c>
      <c r="K30">
        <v>8</v>
      </c>
      <c r="L30">
        <v>7.79</v>
      </c>
      <c r="M30">
        <v>7.63</v>
      </c>
      <c r="N30">
        <v>7.51</v>
      </c>
      <c r="O30">
        <v>7.41</v>
      </c>
      <c r="S30" s="1"/>
    </row>
    <row r="31" spans="1:19" x14ac:dyDescent="0.35">
      <c r="A31" s="1">
        <v>45046</v>
      </c>
      <c r="B31">
        <v>6.32</v>
      </c>
      <c r="C31">
        <v>7.07</v>
      </c>
      <c r="D31">
        <v>8.08</v>
      </c>
      <c r="E31">
        <v>8.66</v>
      </c>
      <c r="F31">
        <v>8.98</v>
      </c>
      <c r="G31">
        <v>9.25</v>
      </c>
      <c r="H31">
        <v>9.2899999999999991</v>
      </c>
      <c r="I31">
        <v>9.31</v>
      </c>
      <c r="J31">
        <v>9.31</v>
      </c>
      <c r="K31">
        <v>9.2899999999999991</v>
      </c>
      <c r="L31">
        <v>9.27</v>
      </c>
      <c r="M31">
        <v>9.25</v>
      </c>
      <c r="N31">
        <v>9.24</v>
      </c>
      <c r="O31">
        <v>9.2200000000000006</v>
      </c>
      <c r="S31" s="1"/>
    </row>
    <row r="32" spans="1:19" x14ac:dyDescent="0.35">
      <c r="A32" s="1">
        <v>45077</v>
      </c>
      <c r="B32">
        <v>6.26</v>
      </c>
      <c r="C32">
        <v>6.83</v>
      </c>
      <c r="D32">
        <v>7.66</v>
      </c>
      <c r="E32">
        <v>8.19</v>
      </c>
      <c r="F32">
        <v>8.5399999999999991</v>
      </c>
      <c r="G32">
        <v>8.9499999999999993</v>
      </c>
      <c r="H32">
        <v>9.07</v>
      </c>
      <c r="I32">
        <v>9.15</v>
      </c>
      <c r="J32">
        <v>9.27</v>
      </c>
      <c r="K32">
        <v>9.34</v>
      </c>
      <c r="L32">
        <v>9.39</v>
      </c>
      <c r="M32">
        <v>9.43</v>
      </c>
      <c r="N32">
        <v>9.4600000000000009</v>
      </c>
      <c r="O32">
        <v>9.48</v>
      </c>
      <c r="S32" s="1"/>
    </row>
    <row r="33" spans="1:19" x14ac:dyDescent="0.35">
      <c r="A33" s="1">
        <v>45107</v>
      </c>
      <c r="B33">
        <v>6.26</v>
      </c>
      <c r="C33">
        <v>7.11</v>
      </c>
      <c r="D33">
        <v>8.1999999999999993</v>
      </c>
      <c r="E33">
        <v>8.77</v>
      </c>
      <c r="F33">
        <v>9.0500000000000007</v>
      </c>
      <c r="G33">
        <v>9.18</v>
      </c>
      <c r="H33">
        <v>9.16</v>
      </c>
      <c r="I33">
        <v>9.1199999999999992</v>
      </c>
      <c r="J33">
        <v>9.02</v>
      </c>
      <c r="K33">
        <v>8.93</v>
      </c>
      <c r="L33">
        <v>8.85</v>
      </c>
      <c r="M33">
        <v>8.7899999999999991</v>
      </c>
      <c r="N33">
        <v>8.74</v>
      </c>
      <c r="O33">
        <v>8.6999999999999993</v>
      </c>
      <c r="S33" s="1"/>
    </row>
    <row r="34" spans="1:19" x14ac:dyDescent="0.35">
      <c r="A34" s="1">
        <v>45138</v>
      </c>
      <c r="B34">
        <v>6.31</v>
      </c>
      <c r="C34">
        <v>7.05</v>
      </c>
      <c r="D34">
        <v>8.02</v>
      </c>
      <c r="E34">
        <v>8.57</v>
      </c>
      <c r="F34">
        <v>8.8699999999999992</v>
      </c>
      <c r="G34">
        <v>9.1</v>
      </c>
      <c r="H34">
        <v>9.1300000000000008</v>
      </c>
      <c r="I34">
        <v>9.1300000000000008</v>
      </c>
      <c r="J34">
        <v>9.11</v>
      </c>
      <c r="K34">
        <v>9.08</v>
      </c>
      <c r="L34">
        <v>9.0399999999999991</v>
      </c>
      <c r="M34">
        <v>9.02</v>
      </c>
      <c r="N34">
        <v>9</v>
      </c>
      <c r="O34">
        <v>8.98</v>
      </c>
      <c r="S34" s="1"/>
    </row>
    <row r="35" spans="1:19" x14ac:dyDescent="0.35">
      <c r="A35" s="1">
        <v>45199</v>
      </c>
      <c r="B35">
        <v>6.46</v>
      </c>
      <c r="C35">
        <v>7.18</v>
      </c>
      <c r="D35">
        <v>8.18</v>
      </c>
      <c r="E35">
        <v>8.8000000000000007</v>
      </c>
      <c r="F35">
        <v>9.18</v>
      </c>
      <c r="G35">
        <v>9.57</v>
      </c>
      <c r="H35">
        <v>9.66</v>
      </c>
      <c r="I35">
        <v>9.73</v>
      </c>
      <c r="J35">
        <v>9.8000000000000007</v>
      </c>
      <c r="K35">
        <v>9.84</v>
      </c>
      <c r="L35">
        <v>9.86</v>
      </c>
      <c r="M35">
        <v>9.8699999999999992</v>
      </c>
      <c r="N35">
        <v>9.8800000000000008</v>
      </c>
      <c r="O35">
        <v>9.89</v>
      </c>
      <c r="S35" s="1"/>
    </row>
    <row r="36" spans="1:19" x14ac:dyDescent="0.35">
      <c r="A36" s="1">
        <v>45350</v>
      </c>
      <c r="B36">
        <v>6.3</v>
      </c>
      <c r="C36">
        <v>7.19</v>
      </c>
      <c r="D36">
        <v>8.3000000000000007</v>
      </c>
      <c r="E36">
        <v>8.8699999999999992</v>
      </c>
      <c r="F36">
        <v>9.1199999999999992</v>
      </c>
      <c r="G36">
        <v>9.2100000000000009</v>
      </c>
      <c r="H36">
        <v>9.16</v>
      </c>
      <c r="I36">
        <v>9.1</v>
      </c>
      <c r="J36">
        <v>8.9600000000000009</v>
      </c>
      <c r="K36">
        <v>8.84</v>
      </c>
      <c r="L36">
        <v>8.74</v>
      </c>
      <c r="M36">
        <v>8.66</v>
      </c>
      <c r="N36">
        <v>8.6</v>
      </c>
      <c r="O36">
        <v>8.5500000000000007</v>
      </c>
      <c r="S36" s="1"/>
    </row>
    <row r="37" spans="1:19" x14ac:dyDescent="0.35">
      <c r="A37" s="1">
        <v>45382</v>
      </c>
      <c r="B37">
        <v>6.25</v>
      </c>
      <c r="C37">
        <v>7.18</v>
      </c>
      <c r="D37">
        <v>8.32</v>
      </c>
      <c r="E37">
        <v>8.8699999999999992</v>
      </c>
      <c r="F37">
        <v>9.1</v>
      </c>
      <c r="G37">
        <v>9.1300000000000008</v>
      </c>
      <c r="H37">
        <v>9.0500000000000007</v>
      </c>
      <c r="I37">
        <v>8.9600000000000009</v>
      </c>
      <c r="J37">
        <v>8.7799999999999994</v>
      </c>
      <c r="K37">
        <v>8.6199999999999992</v>
      </c>
      <c r="L37">
        <v>8.5</v>
      </c>
      <c r="M37">
        <v>8.4</v>
      </c>
      <c r="N37">
        <v>8.33</v>
      </c>
      <c r="O37">
        <v>8.26</v>
      </c>
      <c r="S37" s="1"/>
    </row>
    <row r="38" spans="1:19" x14ac:dyDescent="0.35">
      <c r="A38" s="1">
        <v>45412</v>
      </c>
      <c r="B38">
        <v>6.6</v>
      </c>
      <c r="C38">
        <v>6.86</v>
      </c>
      <c r="D38">
        <v>7.3</v>
      </c>
      <c r="E38">
        <v>7.66</v>
      </c>
      <c r="F38">
        <v>7.95</v>
      </c>
      <c r="G38">
        <v>8.3800000000000008</v>
      </c>
      <c r="H38">
        <v>8.5299999999999994</v>
      </c>
      <c r="I38">
        <v>8.66</v>
      </c>
      <c r="J38">
        <v>8.85</v>
      </c>
      <c r="K38">
        <v>8.98</v>
      </c>
      <c r="L38">
        <v>9.08</v>
      </c>
      <c r="M38">
        <v>9.16</v>
      </c>
      <c r="N38">
        <v>9.2200000000000006</v>
      </c>
      <c r="O38">
        <v>9.27</v>
      </c>
      <c r="S38" s="1"/>
    </row>
    <row r="39" spans="1:19" x14ac:dyDescent="0.35">
      <c r="A39" s="1">
        <v>45443</v>
      </c>
      <c r="B39">
        <v>6.9</v>
      </c>
      <c r="C39">
        <v>7.26</v>
      </c>
      <c r="D39">
        <v>7.85</v>
      </c>
      <c r="E39">
        <v>8.31</v>
      </c>
      <c r="F39">
        <v>8.68</v>
      </c>
      <c r="G39">
        <v>9.2100000000000009</v>
      </c>
      <c r="H39">
        <v>9.4</v>
      </c>
      <c r="I39">
        <v>9.5500000000000007</v>
      </c>
      <c r="J39">
        <v>9.7899999999999991</v>
      </c>
      <c r="K39">
        <v>9.9499999999999993</v>
      </c>
      <c r="L39">
        <v>10.07</v>
      </c>
      <c r="M39">
        <v>10.16</v>
      </c>
      <c r="N39">
        <v>10.23</v>
      </c>
      <c r="O39">
        <v>10.29</v>
      </c>
      <c r="S39" s="1"/>
    </row>
    <row r="40" spans="1:19" x14ac:dyDescent="0.35">
      <c r="A40" s="1">
        <v>45473</v>
      </c>
      <c r="B40">
        <v>6.34</v>
      </c>
      <c r="C40">
        <v>7.23</v>
      </c>
      <c r="D40">
        <v>8.44</v>
      </c>
      <c r="E40">
        <v>9.14</v>
      </c>
      <c r="F40">
        <v>9.56</v>
      </c>
      <c r="G40">
        <v>9.94</v>
      </c>
      <c r="H40">
        <v>10.02</v>
      </c>
      <c r="I40">
        <v>10.06</v>
      </c>
      <c r="J40">
        <v>10.09</v>
      </c>
      <c r="K40">
        <v>10.1</v>
      </c>
      <c r="L40">
        <v>10.1</v>
      </c>
      <c r="M40">
        <v>10.09</v>
      </c>
      <c r="N40">
        <v>10.09</v>
      </c>
      <c r="O40">
        <v>10.08</v>
      </c>
      <c r="S40" s="1"/>
    </row>
    <row r="41" spans="1:19" x14ac:dyDescent="0.35">
      <c r="A41" s="1">
        <v>45504</v>
      </c>
      <c r="B41">
        <v>7.79</v>
      </c>
      <c r="C41">
        <v>8.64</v>
      </c>
      <c r="D41">
        <v>9.7799999999999994</v>
      </c>
      <c r="E41">
        <v>10.45</v>
      </c>
      <c r="F41">
        <v>10.83</v>
      </c>
      <c r="G41">
        <v>11.17</v>
      </c>
      <c r="H41">
        <v>11.23</v>
      </c>
      <c r="I41">
        <v>11.27</v>
      </c>
      <c r="J41">
        <v>11.28</v>
      </c>
      <c r="K41">
        <v>11.28</v>
      </c>
      <c r="L41">
        <v>11.27</v>
      </c>
      <c r="M41">
        <v>11.25</v>
      </c>
      <c r="N41">
        <v>11.24</v>
      </c>
      <c r="O41">
        <v>11.24</v>
      </c>
      <c r="S41" s="1"/>
    </row>
    <row r="42" spans="1:19" x14ac:dyDescent="0.35">
      <c r="A42" s="1">
        <v>45688</v>
      </c>
      <c r="B42">
        <v>6.61</v>
      </c>
      <c r="C42">
        <v>7.39</v>
      </c>
      <c r="D42">
        <v>8.42</v>
      </c>
      <c r="E42">
        <v>9.01</v>
      </c>
      <c r="F42">
        <v>9.33</v>
      </c>
      <c r="G42">
        <v>9.59</v>
      </c>
      <c r="H42">
        <v>9.6300000000000008</v>
      </c>
      <c r="I42">
        <v>9.64</v>
      </c>
      <c r="J42">
        <v>9.6199999999999992</v>
      </c>
      <c r="K42">
        <v>9.59</v>
      </c>
      <c r="L42">
        <v>9.57</v>
      </c>
      <c r="M42">
        <v>9.5399999999999991</v>
      </c>
      <c r="N42">
        <v>9.52</v>
      </c>
      <c r="O42">
        <v>9.51</v>
      </c>
      <c r="S42" s="1"/>
    </row>
    <row r="43" spans="1:19" x14ac:dyDescent="0.35">
      <c r="A43" s="1">
        <v>45716</v>
      </c>
      <c r="B43">
        <v>6.61</v>
      </c>
      <c r="C43">
        <v>7.39</v>
      </c>
      <c r="D43">
        <v>8.42</v>
      </c>
      <c r="E43">
        <v>9.01</v>
      </c>
      <c r="F43">
        <v>9.33</v>
      </c>
      <c r="G43">
        <v>9.59</v>
      </c>
      <c r="H43">
        <v>9.6300000000000008</v>
      </c>
      <c r="I43">
        <v>9.64</v>
      </c>
      <c r="J43">
        <v>9.6199999999999992</v>
      </c>
      <c r="K43">
        <v>9.59</v>
      </c>
      <c r="L43">
        <v>9.57</v>
      </c>
      <c r="M43">
        <v>9.5399999999999991</v>
      </c>
      <c r="N43">
        <v>9.52</v>
      </c>
      <c r="O43">
        <v>9.51</v>
      </c>
      <c r="S43" s="1"/>
    </row>
    <row r="44" spans="1:19" x14ac:dyDescent="0.35">
      <c r="A44" s="1">
        <v>45777</v>
      </c>
      <c r="B44">
        <v>6.77</v>
      </c>
      <c r="C44">
        <v>7.35</v>
      </c>
      <c r="D44">
        <v>8.06</v>
      </c>
      <c r="E44">
        <v>8.41</v>
      </c>
      <c r="F44">
        <v>8.56</v>
      </c>
      <c r="G44">
        <v>8.58</v>
      </c>
      <c r="H44">
        <v>8.5399999999999991</v>
      </c>
      <c r="I44">
        <v>8.49</v>
      </c>
      <c r="J44">
        <v>8.3800000000000008</v>
      </c>
      <c r="K44">
        <v>8.2899999999999991</v>
      </c>
      <c r="L44">
        <v>8.2200000000000006</v>
      </c>
      <c r="M44">
        <v>8.16</v>
      </c>
      <c r="N44">
        <v>8.11</v>
      </c>
      <c r="O44">
        <v>8.07</v>
      </c>
      <c r="S44" s="1"/>
    </row>
    <row r="45" spans="1:19" x14ac:dyDescent="0.35">
      <c r="A45" s="1">
        <v>45808</v>
      </c>
      <c r="B45">
        <v>6.49</v>
      </c>
      <c r="C45">
        <v>7.29</v>
      </c>
      <c r="D45">
        <v>8.3699999999999992</v>
      </c>
      <c r="E45">
        <v>8.99</v>
      </c>
      <c r="F45">
        <v>9.33</v>
      </c>
      <c r="G45">
        <v>9.6199999999999992</v>
      </c>
      <c r="H45">
        <v>9.67</v>
      </c>
      <c r="I45">
        <v>9.69</v>
      </c>
      <c r="J45">
        <v>9.68</v>
      </c>
      <c r="K45">
        <v>9.66</v>
      </c>
      <c r="L45">
        <v>9.64</v>
      </c>
      <c r="M45">
        <v>9.6199999999999992</v>
      </c>
      <c r="N45">
        <v>9.61</v>
      </c>
      <c r="O45">
        <v>9.6</v>
      </c>
      <c r="S45" s="1"/>
    </row>
    <row r="46" spans="1:19" x14ac:dyDescent="0.35">
      <c r="A46" s="1">
        <v>45838</v>
      </c>
      <c r="B46">
        <v>6.34</v>
      </c>
      <c r="C46">
        <v>7.54</v>
      </c>
      <c r="D46">
        <v>9.24</v>
      </c>
      <c r="E46">
        <v>10.3</v>
      </c>
      <c r="F46">
        <v>10.99</v>
      </c>
      <c r="G46">
        <v>11.72</v>
      </c>
      <c r="H46">
        <v>11.92</v>
      </c>
      <c r="I46">
        <v>12.06</v>
      </c>
      <c r="J46">
        <v>12.24</v>
      </c>
      <c r="K46">
        <v>12.34</v>
      </c>
      <c r="L46">
        <v>12.41</v>
      </c>
      <c r="M46">
        <v>12.46</v>
      </c>
      <c r="N46">
        <v>12.49</v>
      </c>
      <c r="O46">
        <v>12.52</v>
      </c>
      <c r="S46" s="1"/>
    </row>
    <row r="47" spans="1:19" x14ac:dyDescent="0.35">
      <c r="S47" s="1"/>
    </row>
    <row r="48" spans="1:19" x14ac:dyDescent="0.35">
      <c r="S48" s="1"/>
    </row>
    <row r="49" spans="19:19" x14ac:dyDescent="0.35">
      <c r="S49" s="1"/>
    </row>
    <row r="50" spans="19:19" x14ac:dyDescent="0.35">
      <c r="S50" s="1"/>
    </row>
    <row r="51" spans="19:19" x14ac:dyDescent="0.35">
      <c r="S51" s="1"/>
    </row>
    <row r="52" spans="19:19" x14ac:dyDescent="0.35">
      <c r="S52" s="1"/>
    </row>
    <row r="53" spans="19:19" x14ac:dyDescent="0.35">
      <c r="S53" s="1"/>
    </row>
    <row r="54" spans="19:19" x14ac:dyDescent="0.35">
      <c r="S54" s="1"/>
    </row>
    <row r="55" spans="19:19" x14ac:dyDescent="0.35">
      <c r="S55" s="1"/>
    </row>
    <row r="56" spans="19:19" x14ac:dyDescent="0.35">
      <c r="S56" s="1"/>
    </row>
    <row r="57" spans="19:19" x14ac:dyDescent="0.35">
      <c r="S57" s="1"/>
    </row>
    <row r="58" spans="19:19" x14ac:dyDescent="0.35">
      <c r="S58" s="1"/>
    </row>
    <row r="59" spans="19:19" x14ac:dyDescent="0.35">
      <c r="S59" s="1"/>
    </row>
    <row r="60" spans="19:19" x14ac:dyDescent="0.35">
      <c r="S60" s="1"/>
    </row>
    <row r="61" spans="19:19" x14ac:dyDescent="0.35">
      <c r="S61" s="1"/>
    </row>
    <row r="62" spans="19:19" x14ac:dyDescent="0.35">
      <c r="S62" s="1"/>
    </row>
    <row r="63" spans="19:19" x14ac:dyDescent="0.35">
      <c r="S63" s="1"/>
    </row>
    <row r="64" spans="19:19" x14ac:dyDescent="0.35">
      <c r="S64" s="1"/>
    </row>
    <row r="65" spans="19:19" x14ac:dyDescent="0.35">
      <c r="S65" s="1"/>
    </row>
    <row r="66" spans="19:19" x14ac:dyDescent="0.35">
      <c r="S66" s="1"/>
    </row>
    <row r="67" spans="19:19" x14ac:dyDescent="0.35">
      <c r="S67" s="1"/>
    </row>
    <row r="68" spans="19:19" x14ac:dyDescent="0.35">
      <c r="S68" s="1"/>
    </row>
    <row r="69" spans="19:19" x14ac:dyDescent="0.35">
      <c r="S69" s="1"/>
    </row>
    <row r="70" spans="19:19" x14ac:dyDescent="0.35">
      <c r="S70" s="1"/>
    </row>
    <row r="71" spans="19:19" x14ac:dyDescent="0.35">
      <c r="S71" s="1"/>
    </row>
    <row r="72" spans="19:19" x14ac:dyDescent="0.35">
      <c r="S72" s="1"/>
    </row>
    <row r="73" spans="19:19" x14ac:dyDescent="0.35">
      <c r="S73" s="1"/>
    </row>
    <row r="74" spans="19:19" x14ac:dyDescent="0.35">
      <c r="S74" s="1"/>
    </row>
    <row r="75" spans="19:19" x14ac:dyDescent="0.35">
      <c r="S75" s="1"/>
    </row>
    <row r="76" spans="19:19" x14ac:dyDescent="0.35">
      <c r="S76" s="1"/>
    </row>
    <row r="77" spans="19:19" x14ac:dyDescent="0.35">
      <c r="S77" s="1"/>
    </row>
    <row r="78" spans="19:19" x14ac:dyDescent="0.35">
      <c r="S78" s="1"/>
    </row>
    <row r="79" spans="19:19" x14ac:dyDescent="0.35">
      <c r="S79" s="1"/>
    </row>
    <row r="80" spans="19:19" x14ac:dyDescent="0.35">
      <c r="S80" s="1"/>
    </row>
    <row r="81" spans="19:19" x14ac:dyDescent="0.35">
      <c r="S81" s="1"/>
    </row>
    <row r="82" spans="19:19" x14ac:dyDescent="0.35">
      <c r="S82" s="1"/>
    </row>
    <row r="83" spans="19:19" x14ac:dyDescent="0.35">
      <c r="S83" s="1"/>
    </row>
    <row r="84" spans="19:19" x14ac:dyDescent="0.35">
      <c r="S84" s="1"/>
    </row>
    <row r="85" spans="19:19" x14ac:dyDescent="0.35">
      <c r="S85" s="1"/>
    </row>
    <row r="86" spans="19:19" x14ac:dyDescent="0.35">
      <c r="S86" s="1"/>
    </row>
    <row r="87" spans="19:19" x14ac:dyDescent="0.35">
      <c r="S87" s="1"/>
    </row>
    <row r="88" spans="19:19" x14ac:dyDescent="0.35">
      <c r="S88" s="1"/>
    </row>
    <row r="89" spans="19:19" x14ac:dyDescent="0.35">
      <c r="S89" s="1"/>
    </row>
    <row r="90" spans="19:19" x14ac:dyDescent="0.35">
      <c r="S90" s="1"/>
    </row>
    <row r="91" spans="19:19" x14ac:dyDescent="0.35">
      <c r="S91" s="1"/>
    </row>
    <row r="92" spans="19:19" x14ac:dyDescent="0.35">
      <c r="S92" s="1"/>
    </row>
    <row r="93" spans="19:19" x14ac:dyDescent="0.35">
      <c r="S93" s="1"/>
    </row>
    <row r="94" spans="19:19" x14ac:dyDescent="0.35">
      <c r="S94" s="1"/>
    </row>
    <row r="95" spans="19:19" x14ac:dyDescent="0.35">
      <c r="S95" s="1"/>
    </row>
    <row r="96" spans="19:19" x14ac:dyDescent="0.35">
      <c r="S96" s="1"/>
    </row>
    <row r="97" spans="19:19" x14ac:dyDescent="0.35">
      <c r="S97" s="1"/>
    </row>
    <row r="98" spans="19:19" x14ac:dyDescent="0.35">
      <c r="S98" s="1"/>
    </row>
    <row r="99" spans="19:19" x14ac:dyDescent="0.35">
      <c r="S99" s="1"/>
    </row>
    <row r="100" spans="19:19" x14ac:dyDescent="0.35">
      <c r="S100" s="1"/>
    </row>
    <row r="101" spans="19:19" x14ac:dyDescent="0.35">
      <c r="S101" s="1"/>
    </row>
    <row r="102" spans="19:19" x14ac:dyDescent="0.35">
      <c r="S102" s="1"/>
    </row>
    <row r="103" spans="19:19" x14ac:dyDescent="0.35">
      <c r="S103" s="1"/>
    </row>
    <row r="104" spans="19:19" x14ac:dyDescent="0.35">
      <c r="S104" s="1"/>
    </row>
    <row r="105" spans="19:19" x14ac:dyDescent="0.35">
      <c r="S105" s="1"/>
    </row>
    <row r="106" spans="19:19" x14ac:dyDescent="0.35">
      <c r="S106" s="1"/>
    </row>
    <row r="107" spans="19:19" x14ac:dyDescent="0.35">
      <c r="S107" s="1"/>
    </row>
    <row r="108" spans="19:19" x14ac:dyDescent="0.35">
      <c r="S108" s="1"/>
    </row>
    <row r="109" spans="19:19" x14ac:dyDescent="0.35">
      <c r="S109" s="1"/>
    </row>
    <row r="110" spans="19:19" x14ac:dyDescent="0.35">
      <c r="S110" s="1"/>
    </row>
    <row r="111" spans="19:19" x14ac:dyDescent="0.35">
      <c r="S111" s="1"/>
    </row>
    <row r="112" spans="19:19" x14ac:dyDescent="0.35">
      <c r="S112" s="1"/>
    </row>
    <row r="113" spans="19:19" x14ac:dyDescent="0.35">
      <c r="S113" s="1"/>
    </row>
    <row r="114" spans="19:19" x14ac:dyDescent="0.35">
      <c r="S114" s="1"/>
    </row>
    <row r="115" spans="19:19" x14ac:dyDescent="0.35">
      <c r="S115" s="1"/>
    </row>
    <row r="116" spans="19:19" x14ac:dyDescent="0.35">
      <c r="S116" s="1"/>
    </row>
    <row r="117" spans="19:19" x14ac:dyDescent="0.35">
      <c r="S117" s="1"/>
    </row>
    <row r="118" spans="19:19" x14ac:dyDescent="0.35">
      <c r="S118" s="1"/>
    </row>
    <row r="119" spans="19:19" x14ac:dyDescent="0.35">
      <c r="S119" s="1"/>
    </row>
    <row r="120" spans="19:19" x14ac:dyDescent="0.35">
      <c r="S120" s="1"/>
    </row>
    <row r="121" spans="19:19" x14ac:dyDescent="0.35">
      <c r="S121" s="1"/>
    </row>
    <row r="122" spans="19:19" x14ac:dyDescent="0.35">
      <c r="S122" s="1"/>
    </row>
    <row r="123" spans="19:19" x14ac:dyDescent="0.35">
      <c r="S123" s="1"/>
    </row>
    <row r="124" spans="19:19" x14ac:dyDescent="0.35">
      <c r="S124" s="1"/>
    </row>
    <row r="125" spans="19:19" x14ac:dyDescent="0.35">
      <c r="S125" s="1"/>
    </row>
    <row r="126" spans="19:19" x14ac:dyDescent="0.35">
      <c r="S126" s="1"/>
    </row>
    <row r="127" spans="19:19" x14ac:dyDescent="0.35">
      <c r="S127" s="1"/>
    </row>
    <row r="128" spans="19:19" x14ac:dyDescent="0.35">
      <c r="S128" s="1"/>
    </row>
    <row r="129" spans="19:19" x14ac:dyDescent="0.35">
      <c r="S129" s="1"/>
    </row>
    <row r="130" spans="19:19" x14ac:dyDescent="0.35">
      <c r="S130" s="1"/>
    </row>
    <row r="131" spans="19:19" x14ac:dyDescent="0.35">
      <c r="S131" s="1"/>
    </row>
    <row r="132" spans="19:19" x14ac:dyDescent="0.35">
      <c r="S132" s="1"/>
    </row>
    <row r="133" spans="19:19" x14ac:dyDescent="0.35">
      <c r="S133" s="1"/>
    </row>
    <row r="134" spans="19:19" x14ac:dyDescent="0.35">
      <c r="S134" s="1"/>
    </row>
    <row r="135" spans="19:19" x14ac:dyDescent="0.35">
      <c r="S135" s="1"/>
    </row>
    <row r="136" spans="19:19" x14ac:dyDescent="0.35">
      <c r="S136" s="1"/>
    </row>
    <row r="137" spans="19:19" x14ac:dyDescent="0.35">
      <c r="S137" s="1"/>
    </row>
    <row r="138" spans="19:19" x14ac:dyDescent="0.35">
      <c r="S138" s="1"/>
    </row>
    <row r="139" spans="19:19" x14ac:dyDescent="0.35">
      <c r="S139" s="1"/>
    </row>
    <row r="140" spans="19:19" x14ac:dyDescent="0.35">
      <c r="S140" s="1"/>
    </row>
    <row r="141" spans="19:19" x14ac:dyDescent="0.35">
      <c r="S141" s="1"/>
    </row>
    <row r="142" spans="19:19" x14ac:dyDescent="0.35">
      <c r="S142" s="1"/>
    </row>
    <row r="143" spans="19:19" x14ac:dyDescent="0.35">
      <c r="S143" s="1"/>
    </row>
    <row r="144" spans="19:19" x14ac:dyDescent="0.35">
      <c r="S144" s="1"/>
    </row>
    <row r="145" spans="19:19" x14ac:dyDescent="0.35">
      <c r="S145" s="1"/>
    </row>
    <row r="146" spans="19:19" x14ac:dyDescent="0.35">
      <c r="S146" s="1"/>
    </row>
    <row r="147" spans="19:19" x14ac:dyDescent="0.35">
      <c r="S147" s="1"/>
    </row>
    <row r="148" spans="19:19" x14ac:dyDescent="0.35">
      <c r="S148" s="1"/>
    </row>
    <row r="149" spans="19:19" x14ac:dyDescent="0.35">
      <c r="S149" s="1"/>
    </row>
    <row r="150" spans="19:19" x14ac:dyDescent="0.35">
      <c r="S150" s="1"/>
    </row>
    <row r="151" spans="19:19" x14ac:dyDescent="0.35">
      <c r="S151" s="1"/>
    </row>
    <row r="152" spans="19:19" x14ac:dyDescent="0.35">
      <c r="S152" s="1"/>
    </row>
    <row r="153" spans="19:19" x14ac:dyDescent="0.35">
      <c r="S153" s="1"/>
    </row>
    <row r="154" spans="19:19" x14ac:dyDescent="0.35">
      <c r="S154" s="1"/>
    </row>
    <row r="155" spans="19:19" x14ac:dyDescent="0.35">
      <c r="S155" s="1"/>
    </row>
    <row r="156" spans="19:19" x14ac:dyDescent="0.35">
      <c r="S156" s="1"/>
    </row>
    <row r="157" spans="19:19" x14ac:dyDescent="0.35">
      <c r="S157" s="1"/>
    </row>
    <row r="158" spans="19:19" x14ac:dyDescent="0.35">
      <c r="S158" s="1"/>
    </row>
    <row r="159" spans="19:19" x14ac:dyDescent="0.35">
      <c r="S159" s="1"/>
    </row>
    <row r="160" spans="19:19" x14ac:dyDescent="0.35">
      <c r="S160" s="1"/>
    </row>
    <row r="161" spans="19:19" x14ac:dyDescent="0.35">
      <c r="S161" s="1"/>
    </row>
    <row r="162" spans="19:19" x14ac:dyDescent="0.35">
      <c r="S162" s="1"/>
    </row>
    <row r="163" spans="19:19" x14ac:dyDescent="0.35">
      <c r="S163" s="1"/>
    </row>
    <row r="164" spans="19:19" x14ac:dyDescent="0.35">
      <c r="S164" s="1"/>
    </row>
    <row r="165" spans="19:19" x14ac:dyDescent="0.35">
      <c r="S165" s="1"/>
    </row>
    <row r="166" spans="19:19" x14ac:dyDescent="0.35">
      <c r="S166" s="1"/>
    </row>
    <row r="167" spans="19:19" x14ac:dyDescent="0.35">
      <c r="S167" s="1"/>
    </row>
    <row r="168" spans="19:19" x14ac:dyDescent="0.35">
      <c r="S168" s="1"/>
    </row>
    <row r="169" spans="19:19" x14ac:dyDescent="0.35">
      <c r="S169" s="1"/>
    </row>
    <row r="170" spans="19:19" x14ac:dyDescent="0.35">
      <c r="S170" s="1"/>
    </row>
    <row r="171" spans="19:19" x14ac:dyDescent="0.35">
      <c r="S171" s="1"/>
    </row>
    <row r="172" spans="19:19" x14ac:dyDescent="0.35">
      <c r="S172" s="1"/>
    </row>
    <row r="173" spans="19:19" x14ac:dyDescent="0.35">
      <c r="S173" s="1"/>
    </row>
    <row r="174" spans="19:19" x14ac:dyDescent="0.35">
      <c r="S174" s="1"/>
    </row>
    <row r="175" spans="19:19" x14ac:dyDescent="0.35">
      <c r="S175" s="1"/>
    </row>
    <row r="176" spans="19:19" x14ac:dyDescent="0.35">
      <c r="S176" s="1"/>
    </row>
    <row r="177" spans="19:19" x14ac:dyDescent="0.35">
      <c r="S177" s="1"/>
    </row>
    <row r="178" spans="19:19" x14ac:dyDescent="0.35">
      <c r="S178" s="1"/>
    </row>
    <row r="179" spans="19:19" x14ac:dyDescent="0.35">
      <c r="S179" s="1"/>
    </row>
    <row r="180" spans="19:19" x14ac:dyDescent="0.35">
      <c r="S180" s="1"/>
    </row>
    <row r="181" spans="19:19" x14ac:dyDescent="0.35">
      <c r="S181" s="1"/>
    </row>
    <row r="182" spans="19:19" x14ac:dyDescent="0.35">
      <c r="S182" s="1"/>
    </row>
    <row r="183" spans="19:19" x14ac:dyDescent="0.35">
      <c r="S183" s="1"/>
    </row>
    <row r="184" spans="19:19" x14ac:dyDescent="0.35">
      <c r="S184" s="1"/>
    </row>
    <row r="185" spans="19:19" x14ac:dyDescent="0.35">
      <c r="S185" s="1"/>
    </row>
    <row r="186" spans="19:19" x14ac:dyDescent="0.35">
      <c r="S186" s="1"/>
    </row>
    <row r="187" spans="19:19" x14ac:dyDescent="0.35">
      <c r="S187" s="1"/>
    </row>
    <row r="188" spans="19:19" x14ac:dyDescent="0.35">
      <c r="S188" s="1"/>
    </row>
    <row r="189" spans="19:19" x14ac:dyDescent="0.35">
      <c r="S189" s="1"/>
    </row>
    <row r="190" spans="19:19" x14ac:dyDescent="0.35">
      <c r="S190" s="1"/>
    </row>
    <row r="191" spans="19:19" x14ac:dyDescent="0.35">
      <c r="S191" s="1"/>
    </row>
    <row r="192" spans="19:19" x14ac:dyDescent="0.35">
      <c r="S192" s="1"/>
    </row>
    <row r="193" spans="19:19" x14ac:dyDescent="0.35">
      <c r="S193" s="1"/>
    </row>
    <row r="194" spans="19:19" x14ac:dyDescent="0.35">
      <c r="S194" s="1"/>
    </row>
    <row r="195" spans="19:19" x14ac:dyDescent="0.35">
      <c r="S195" s="1"/>
    </row>
    <row r="196" spans="19:19" x14ac:dyDescent="0.35">
      <c r="S196" s="1"/>
    </row>
    <row r="197" spans="19:19" x14ac:dyDescent="0.35">
      <c r="S197" s="1"/>
    </row>
    <row r="198" spans="19:19" x14ac:dyDescent="0.35">
      <c r="S198" s="1"/>
    </row>
    <row r="199" spans="19:19" x14ac:dyDescent="0.35">
      <c r="S199" s="1"/>
    </row>
    <row r="200" spans="19:19" x14ac:dyDescent="0.35">
      <c r="S200" s="1"/>
    </row>
    <row r="201" spans="19:19" x14ac:dyDescent="0.35">
      <c r="S201" s="1"/>
    </row>
    <row r="202" spans="19:19" x14ac:dyDescent="0.35">
      <c r="S202" s="1"/>
    </row>
    <row r="203" spans="19:19" x14ac:dyDescent="0.35">
      <c r="S203" s="1"/>
    </row>
    <row r="204" spans="19:19" x14ac:dyDescent="0.35">
      <c r="S204" s="1"/>
    </row>
    <row r="205" spans="19:19" x14ac:dyDescent="0.35">
      <c r="S205" s="1"/>
    </row>
    <row r="206" spans="19:19" x14ac:dyDescent="0.35">
      <c r="S206" s="1"/>
    </row>
    <row r="207" spans="19:19" x14ac:dyDescent="0.35">
      <c r="S207" s="1"/>
    </row>
    <row r="208" spans="19:19" x14ac:dyDescent="0.35">
      <c r="S208" s="1"/>
    </row>
    <row r="209" spans="19:19" x14ac:dyDescent="0.35">
      <c r="S209" s="1"/>
    </row>
    <row r="210" spans="19:19" x14ac:dyDescent="0.35">
      <c r="S210" s="1"/>
    </row>
    <row r="211" spans="19:19" x14ac:dyDescent="0.35">
      <c r="S211" s="1"/>
    </row>
    <row r="212" spans="19:19" x14ac:dyDescent="0.35">
      <c r="S212" s="1"/>
    </row>
    <row r="213" spans="19:19" x14ac:dyDescent="0.35">
      <c r="S213" s="1"/>
    </row>
    <row r="214" spans="19:19" x14ac:dyDescent="0.35">
      <c r="S214" s="1"/>
    </row>
    <row r="215" spans="19:19" x14ac:dyDescent="0.35">
      <c r="S215" s="1"/>
    </row>
    <row r="216" spans="19:19" x14ac:dyDescent="0.35">
      <c r="S216" s="1"/>
    </row>
    <row r="217" spans="19:19" x14ac:dyDescent="0.35">
      <c r="S217" s="1"/>
    </row>
    <row r="218" spans="19:19" x14ac:dyDescent="0.35">
      <c r="S218" s="1"/>
    </row>
    <row r="219" spans="19:19" x14ac:dyDescent="0.35">
      <c r="S219" s="1"/>
    </row>
    <row r="220" spans="19:19" x14ac:dyDescent="0.35">
      <c r="S220" s="1"/>
    </row>
    <row r="221" spans="19:19" x14ac:dyDescent="0.35">
      <c r="S221" s="1"/>
    </row>
    <row r="222" spans="19:19" x14ac:dyDescent="0.35">
      <c r="S222" s="1"/>
    </row>
    <row r="223" spans="19:19" x14ac:dyDescent="0.35">
      <c r="S223" s="1"/>
    </row>
    <row r="224" spans="19:19" x14ac:dyDescent="0.35">
      <c r="S224" s="1"/>
    </row>
    <row r="225" spans="19:19" x14ac:dyDescent="0.35">
      <c r="S225" s="1"/>
    </row>
    <row r="226" spans="19:19" x14ac:dyDescent="0.35">
      <c r="S226" s="1"/>
    </row>
    <row r="227" spans="19:19" x14ac:dyDescent="0.35">
      <c r="S227" s="1"/>
    </row>
    <row r="228" spans="19:19" x14ac:dyDescent="0.35">
      <c r="S228" s="1"/>
    </row>
    <row r="229" spans="19:19" x14ac:dyDescent="0.35">
      <c r="S229" s="1"/>
    </row>
    <row r="230" spans="19:19" x14ac:dyDescent="0.35">
      <c r="S230" s="1"/>
    </row>
    <row r="231" spans="19:19" x14ac:dyDescent="0.35">
      <c r="S231" s="1"/>
    </row>
    <row r="232" spans="19:19" x14ac:dyDescent="0.35">
      <c r="S232" s="1"/>
    </row>
    <row r="233" spans="19:19" x14ac:dyDescent="0.35">
      <c r="S233" s="1"/>
    </row>
    <row r="234" spans="19:19" x14ac:dyDescent="0.35">
      <c r="S234" s="1"/>
    </row>
    <row r="235" spans="19:19" x14ac:dyDescent="0.35">
      <c r="S235" s="1"/>
    </row>
    <row r="236" spans="19:19" x14ac:dyDescent="0.35">
      <c r="S236" s="1"/>
    </row>
    <row r="237" spans="19:19" x14ac:dyDescent="0.35">
      <c r="S237" s="1"/>
    </row>
    <row r="238" spans="19:19" x14ac:dyDescent="0.35">
      <c r="S238" s="1"/>
    </row>
    <row r="239" spans="19:19" x14ac:dyDescent="0.35">
      <c r="S239" s="1"/>
    </row>
    <row r="240" spans="19:19" x14ac:dyDescent="0.35">
      <c r="S240" s="1"/>
    </row>
    <row r="241" spans="19:19" x14ac:dyDescent="0.35">
      <c r="S241" s="1"/>
    </row>
    <row r="242" spans="19:19" x14ac:dyDescent="0.35">
      <c r="S242" s="1"/>
    </row>
    <row r="243" spans="19:19" x14ac:dyDescent="0.35">
      <c r="S243" s="1"/>
    </row>
    <row r="244" spans="19:19" x14ac:dyDescent="0.35">
      <c r="S244" s="1"/>
    </row>
    <row r="245" spans="19:19" x14ac:dyDescent="0.35">
      <c r="S245" s="1"/>
    </row>
    <row r="246" spans="19:19" x14ac:dyDescent="0.35">
      <c r="S246" s="1"/>
    </row>
    <row r="247" spans="19:19" x14ac:dyDescent="0.35">
      <c r="S247" s="1"/>
    </row>
    <row r="248" spans="19:19" x14ac:dyDescent="0.35">
      <c r="S248" s="1"/>
    </row>
    <row r="249" spans="19:19" x14ac:dyDescent="0.35">
      <c r="S249" s="1"/>
    </row>
    <row r="250" spans="19:19" x14ac:dyDescent="0.35">
      <c r="S250" s="1"/>
    </row>
    <row r="251" spans="19:19" x14ac:dyDescent="0.35">
      <c r="S251" s="1"/>
    </row>
    <row r="252" spans="19:19" x14ac:dyDescent="0.35">
      <c r="S252" s="1"/>
    </row>
    <row r="253" spans="19:19" x14ac:dyDescent="0.35">
      <c r="S253" s="1"/>
    </row>
    <row r="254" spans="19:19" x14ac:dyDescent="0.35">
      <c r="S254" s="1"/>
    </row>
    <row r="255" spans="19:19" x14ac:dyDescent="0.35">
      <c r="S255" s="1"/>
    </row>
    <row r="256" spans="19:19" x14ac:dyDescent="0.35">
      <c r="S256" s="1"/>
    </row>
    <row r="257" spans="19:19" x14ac:dyDescent="0.35">
      <c r="S257" s="1"/>
    </row>
    <row r="258" spans="19:19" x14ac:dyDescent="0.35">
      <c r="S258" s="1"/>
    </row>
    <row r="259" spans="19:19" x14ac:dyDescent="0.35">
      <c r="S259" s="1"/>
    </row>
    <row r="260" spans="19:19" x14ac:dyDescent="0.35">
      <c r="S260" s="1"/>
    </row>
    <row r="261" spans="19:19" x14ac:dyDescent="0.35">
      <c r="S261" s="1"/>
    </row>
    <row r="262" spans="19:19" x14ac:dyDescent="0.35">
      <c r="S262" s="1"/>
    </row>
    <row r="263" spans="19:19" x14ac:dyDescent="0.35">
      <c r="S263" s="1"/>
    </row>
    <row r="264" spans="19:19" x14ac:dyDescent="0.35">
      <c r="S264" s="1"/>
    </row>
    <row r="265" spans="19:19" x14ac:dyDescent="0.35">
      <c r="S265" s="1"/>
    </row>
    <row r="266" spans="19:19" x14ac:dyDescent="0.35">
      <c r="S266" s="1"/>
    </row>
    <row r="267" spans="19:19" x14ac:dyDescent="0.35">
      <c r="S267" s="1"/>
    </row>
    <row r="268" spans="19:19" x14ac:dyDescent="0.35">
      <c r="S268" s="1"/>
    </row>
    <row r="269" spans="19:19" x14ac:dyDescent="0.35">
      <c r="S269" s="1"/>
    </row>
    <row r="270" spans="19:19" x14ac:dyDescent="0.35">
      <c r="S270" s="1"/>
    </row>
    <row r="271" spans="19:19" x14ac:dyDescent="0.35">
      <c r="S271" s="1"/>
    </row>
    <row r="272" spans="19:19" x14ac:dyDescent="0.35">
      <c r="S272" s="1"/>
    </row>
    <row r="273" spans="19:19" x14ac:dyDescent="0.35">
      <c r="S273" s="1"/>
    </row>
    <row r="274" spans="19:19" x14ac:dyDescent="0.35">
      <c r="S274" s="1"/>
    </row>
    <row r="275" spans="19:19" x14ac:dyDescent="0.35">
      <c r="S275" s="1"/>
    </row>
    <row r="276" spans="19:19" x14ac:dyDescent="0.35">
      <c r="S276" s="1"/>
    </row>
    <row r="277" spans="19:19" x14ac:dyDescent="0.35">
      <c r="S277" s="1"/>
    </row>
    <row r="278" spans="19:19" x14ac:dyDescent="0.35">
      <c r="S278" s="1"/>
    </row>
    <row r="279" spans="19:19" x14ac:dyDescent="0.35">
      <c r="S279" s="1"/>
    </row>
    <row r="280" spans="19:19" x14ac:dyDescent="0.35">
      <c r="S280" s="1"/>
    </row>
    <row r="281" spans="19:19" x14ac:dyDescent="0.35">
      <c r="S281" s="1"/>
    </row>
    <row r="282" spans="19:19" x14ac:dyDescent="0.35">
      <c r="S282" s="1"/>
    </row>
    <row r="283" spans="19:19" x14ac:dyDescent="0.35">
      <c r="S283" s="1"/>
    </row>
    <row r="284" spans="19:19" x14ac:dyDescent="0.35">
      <c r="S284" s="1"/>
    </row>
    <row r="285" spans="19:19" x14ac:dyDescent="0.35">
      <c r="S285" s="1"/>
    </row>
    <row r="286" spans="19:19" x14ac:dyDescent="0.35">
      <c r="S286" s="1"/>
    </row>
    <row r="287" spans="19:19" x14ac:dyDescent="0.35">
      <c r="S287" s="1"/>
    </row>
    <row r="288" spans="19:19" x14ac:dyDescent="0.35">
      <c r="S288" s="1"/>
    </row>
    <row r="289" spans="19:19" x14ac:dyDescent="0.35">
      <c r="S289" s="1"/>
    </row>
    <row r="290" spans="19:19" x14ac:dyDescent="0.35">
      <c r="S290" s="1"/>
    </row>
    <row r="291" spans="19:19" x14ac:dyDescent="0.35">
      <c r="S291" s="1"/>
    </row>
    <row r="292" spans="19:19" x14ac:dyDescent="0.35">
      <c r="S292" s="1"/>
    </row>
    <row r="293" spans="19:19" x14ac:dyDescent="0.35">
      <c r="S293" s="1"/>
    </row>
    <row r="294" spans="19:19" x14ac:dyDescent="0.35">
      <c r="S294" s="1"/>
    </row>
    <row r="295" spans="19:19" x14ac:dyDescent="0.35">
      <c r="S295" s="1"/>
    </row>
    <row r="296" spans="19:19" x14ac:dyDescent="0.35">
      <c r="S296" s="1"/>
    </row>
    <row r="297" spans="19:19" x14ac:dyDescent="0.35">
      <c r="S297" s="1"/>
    </row>
    <row r="298" spans="19:19" x14ac:dyDescent="0.35">
      <c r="S298" s="1"/>
    </row>
    <row r="299" spans="19:19" x14ac:dyDescent="0.35">
      <c r="S299" s="1"/>
    </row>
    <row r="300" spans="19:19" x14ac:dyDescent="0.35">
      <c r="S300" s="1"/>
    </row>
    <row r="301" spans="19:19" x14ac:dyDescent="0.35">
      <c r="S301" s="1"/>
    </row>
    <row r="302" spans="19:19" x14ac:dyDescent="0.35">
      <c r="S302" s="1"/>
    </row>
    <row r="303" spans="19:19" x14ac:dyDescent="0.35">
      <c r="S303" s="1"/>
    </row>
    <row r="304" spans="19:19" x14ac:dyDescent="0.35">
      <c r="S304" s="1"/>
    </row>
    <row r="305" spans="19:19" x14ac:dyDescent="0.35">
      <c r="S305" s="1"/>
    </row>
    <row r="306" spans="19:19" x14ac:dyDescent="0.35">
      <c r="S306" s="1"/>
    </row>
    <row r="307" spans="19:19" x14ac:dyDescent="0.35">
      <c r="S307" s="1"/>
    </row>
    <row r="308" spans="19:19" x14ac:dyDescent="0.35">
      <c r="S308" s="1"/>
    </row>
    <row r="309" spans="19:19" x14ac:dyDescent="0.35">
      <c r="S309" s="1"/>
    </row>
    <row r="310" spans="19:19" x14ac:dyDescent="0.35">
      <c r="S310" s="1"/>
    </row>
    <row r="311" spans="19:19" x14ac:dyDescent="0.35">
      <c r="S311" s="1"/>
    </row>
    <row r="312" spans="19:19" x14ac:dyDescent="0.35">
      <c r="S312" s="1"/>
    </row>
    <row r="313" spans="19:19" x14ac:dyDescent="0.35">
      <c r="S313" s="1"/>
    </row>
    <row r="314" spans="19:19" x14ac:dyDescent="0.35">
      <c r="S314" s="1"/>
    </row>
    <row r="315" spans="19:19" x14ac:dyDescent="0.35">
      <c r="S315" s="1"/>
    </row>
    <row r="316" spans="19:19" x14ac:dyDescent="0.35">
      <c r="S316" s="1"/>
    </row>
    <row r="317" spans="19:19" x14ac:dyDescent="0.35">
      <c r="S317" s="1"/>
    </row>
    <row r="318" spans="19:19" x14ac:dyDescent="0.35">
      <c r="S318" s="1"/>
    </row>
    <row r="319" spans="19:19" x14ac:dyDescent="0.35">
      <c r="S319" s="1"/>
    </row>
    <row r="320" spans="19:19" x14ac:dyDescent="0.35">
      <c r="S320" s="1"/>
    </row>
    <row r="321" spans="19:19" x14ac:dyDescent="0.35">
      <c r="S321" s="1"/>
    </row>
    <row r="322" spans="19:19" x14ac:dyDescent="0.35">
      <c r="S322" s="1"/>
    </row>
    <row r="323" spans="19:19" x14ac:dyDescent="0.35">
      <c r="S323" s="1"/>
    </row>
    <row r="324" spans="19:19" x14ac:dyDescent="0.35">
      <c r="S324" s="1"/>
    </row>
    <row r="325" spans="19:19" x14ac:dyDescent="0.35">
      <c r="S325" s="1"/>
    </row>
    <row r="326" spans="19:19" x14ac:dyDescent="0.35">
      <c r="S326" s="1"/>
    </row>
    <row r="327" spans="19:19" x14ac:dyDescent="0.35">
      <c r="S327" s="1"/>
    </row>
    <row r="328" spans="19:19" x14ac:dyDescent="0.35">
      <c r="S328" s="1"/>
    </row>
    <row r="329" spans="19:19" x14ac:dyDescent="0.35">
      <c r="S329" s="1"/>
    </row>
    <row r="330" spans="19:19" x14ac:dyDescent="0.35">
      <c r="S330" s="1"/>
    </row>
    <row r="331" spans="19:19" x14ac:dyDescent="0.35">
      <c r="S331" s="1"/>
    </row>
    <row r="332" spans="19:19" x14ac:dyDescent="0.35">
      <c r="S332" s="1"/>
    </row>
    <row r="333" spans="19:19" x14ac:dyDescent="0.35">
      <c r="S333" s="1"/>
    </row>
    <row r="334" spans="19:19" x14ac:dyDescent="0.35">
      <c r="S334" s="1"/>
    </row>
    <row r="335" spans="19:19" x14ac:dyDescent="0.35">
      <c r="S335" s="1"/>
    </row>
    <row r="336" spans="19:19" x14ac:dyDescent="0.35">
      <c r="S336" s="1"/>
    </row>
    <row r="337" spans="19:19" x14ac:dyDescent="0.35">
      <c r="S337" s="1"/>
    </row>
    <row r="338" spans="19:19" x14ac:dyDescent="0.35">
      <c r="S338" s="1"/>
    </row>
    <row r="339" spans="19:19" x14ac:dyDescent="0.35">
      <c r="S339" s="1"/>
    </row>
    <row r="340" spans="19:19" x14ac:dyDescent="0.35">
      <c r="S340" s="1"/>
    </row>
    <row r="341" spans="19:19" x14ac:dyDescent="0.35">
      <c r="S341" s="1"/>
    </row>
    <row r="342" spans="19:19" x14ac:dyDescent="0.35">
      <c r="S342" s="1"/>
    </row>
    <row r="343" spans="19:19" x14ac:dyDescent="0.35">
      <c r="S343" s="1"/>
    </row>
    <row r="344" spans="19:19" x14ac:dyDescent="0.35">
      <c r="S344" s="1"/>
    </row>
    <row r="345" spans="19:19" x14ac:dyDescent="0.35">
      <c r="S345" s="1"/>
    </row>
    <row r="346" spans="19:19" x14ac:dyDescent="0.35">
      <c r="S346" s="1"/>
    </row>
    <row r="347" spans="19:19" x14ac:dyDescent="0.35">
      <c r="S347" s="1"/>
    </row>
    <row r="348" spans="19:19" x14ac:dyDescent="0.35">
      <c r="S348" s="1"/>
    </row>
    <row r="349" spans="19:19" x14ac:dyDescent="0.35">
      <c r="S349" s="1"/>
    </row>
    <row r="350" spans="19:19" x14ac:dyDescent="0.35">
      <c r="S350" s="1"/>
    </row>
    <row r="351" spans="19:19" x14ac:dyDescent="0.35">
      <c r="S351" s="1"/>
    </row>
    <row r="352" spans="19:19" x14ac:dyDescent="0.35">
      <c r="S352" s="1"/>
    </row>
    <row r="353" spans="19:19" x14ac:dyDescent="0.35">
      <c r="S353" s="1"/>
    </row>
    <row r="354" spans="19:19" x14ac:dyDescent="0.35">
      <c r="S354" s="1"/>
    </row>
    <row r="355" spans="19:19" x14ac:dyDescent="0.35">
      <c r="S355" s="1"/>
    </row>
    <row r="356" spans="19:19" x14ac:dyDescent="0.35">
      <c r="S356" s="1"/>
    </row>
    <row r="357" spans="19:19" x14ac:dyDescent="0.35">
      <c r="S357" s="1"/>
    </row>
    <row r="358" spans="19:19" x14ac:dyDescent="0.35">
      <c r="S358" s="1"/>
    </row>
    <row r="359" spans="19:19" x14ac:dyDescent="0.35">
      <c r="S359" s="1"/>
    </row>
    <row r="360" spans="19:19" x14ac:dyDescent="0.35">
      <c r="S360" s="1"/>
    </row>
    <row r="361" spans="19:19" x14ac:dyDescent="0.35">
      <c r="S361" s="1"/>
    </row>
    <row r="362" spans="19:19" x14ac:dyDescent="0.35">
      <c r="S362" s="1"/>
    </row>
    <row r="363" spans="19:19" x14ac:dyDescent="0.35">
      <c r="S363" s="1"/>
    </row>
    <row r="364" spans="19:19" x14ac:dyDescent="0.35">
      <c r="S364" s="1"/>
    </row>
    <row r="365" spans="19:19" x14ac:dyDescent="0.35">
      <c r="S365" s="1"/>
    </row>
    <row r="366" spans="19:19" x14ac:dyDescent="0.35">
      <c r="S366" s="1"/>
    </row>
    <row r="367" spans="19:19" x14ac:dyDescent="0.35">
      <c r="S367" s="1"/>
    </row>
    <row r="368" spans="19:19" x14ac:dyDescent="0.35">
      <c r="S368" s="1"/>
    </row>
    <row r="369" spans="19:19" x14ac:dyDescent="0.35">
      <c r="S369" s="1"/>
    </row>
    <row r="370" spans="19:19" x14ac:dyDescent="0.35">
      <c r="S370" s="1"/>
    </row>
    <row r="371" spans="19:19" x14ac:dyDescent="0.35">
      <c r="S371" s="1"/>
    </row>
    <row r="372" spans="19:19" x14ac:dyDescent="0.35">
      <c r="S372" s="1"/>
    </row>
    <row r="373" spans="19:19" x14ac:dyDescent="0.35">
      <c r="S373" s="1"/>
    </row>
    <row r="374" spans="19:19" x14ac:dyDescent="0.35">
      <c r="S374" s="1"/>
    </row>
    <row r="375" spans="19:19" x14ac:dyDescent="0.35">
      <c r="S375" s="1"/>
    </row>
    <row r="376" spans="19:19" x14ac:dyDescent="0.35">
      <c r="S376" s="1"/>
    </row>
    <row r="377" spans="19:19" x14ac:dyDescent="0.35">
      <c r="S377" s="1"/>
    </row>
    <row r="378" spans="19:19" x14ac:dyDescent="0.35">
      <c r="S378" s="1"/>
    </row>
    <row r="379" spans="19:19" x14ac:dyDescent="0.35">
      <c r="S379" s="1"/>
    </row>
    <row r="380" spans="19:19" x14ac:dyDescent="0.35">
      <c r="S380" s="1"/>
    </row>
    <row r="381" spans="19:19" x14ac:dyDescent="0.35">
      <c r="S381" s="1"/>
    </row>
    <row r="382" spans="19:19" x14ac:dyDescent="0.35">
      <c r="S382" s="1"/>
    </row>
    <row r="383" spans="19:19" x14ac:dyDescent="0.35">
      <c r="S383" s="1"/>
    </row>
    <row r="384" spans="19:19" x14ac:dyDescent="0.35">
      <c r="S384" s="1"/>
    </row>
    <row r="385" spans="19:19" x14ac:dyDescent="0.35">
      <c r="S385" s="1"/>
    </row>
    <row r="386" spans="19:19" x14ac:dyDescent="0.35">
      <c r="S386" s="1"/>
    </row>
    <row r="387" spans="19:19" x14ac:dyDescent="0.35">
      <c r="S387" s="1"/>
    </row>
    <row r="388" spans="19:19" x14ac:dyDescent="0.35">
      <c r="S388" s="1"/>
    </row>
    <row r="389" spans="19:19" x14ac:dyDescent="0.35">
      <c r="S389" s="1"/>
    </row>
    <row r="390" spans="19:19" x14ac:dyDescent="0.35">
      <c r="S390" s="1"/>
    </row>
    <row r="391" spans="19:19" x14ac:dyDescent="0.35">
      <c r="S391" s="1"/>
    </row>
    <row r="392" spans="19:19" x14ac:dyDescent="0.35">
      <c r="S392" s="1"/>
    </row>
    <row r="393" spans="19:19" x14ac:dyDescent="0.35">
      <c r="S393" s="1"/>
    </row>
    <row r="394" spans="19:19" x14ac:dyDescent="0.35">
      <c r="S394" s="1"/>
    </row>
    <row r="395" spans="19:19" x14ac:dyDescent="0.35">
      <c r="S395" s="1"/>
    </row>
    <row r="396" spans="19:19" x14ac:dyDescent="0.35">
      <c r="S396" s="1"/>
    </row>
    <row r="397" spans="19:19" x14ac:dyDescent="0.35">
      <c r="S397" s="1"/>
    </row>
    <row r="398" spans="19:19" x14ac:dyDescent="0.35">
      <c r="S398" s="1"/>
    </row>
    <row r="399" spans="19:19" x14ac:dyDescent="0.35">
      <c r="S399" s="1"/>
    </row>
    <row r="400" spans="19:19" x14ac:dyDescent="0.35">
      <c r="S400" s="1"/>
    </row>
    <row r="401" spans="19:19" x14ac:dyDescent="0.35">
      <c r="S401" s="1"/>
    </row>
    <row r="402" spans="19:19" x14ac:dyDescent="0.35">
      <c r="S402" s="1"/>
    </row>
    <row r="403" spans="19:19" x14ac:dyDescent="0.35">
      <c r="S403" s="1"/>
    </row>
    <row r="404" spans="19:19" x14ac:dyDescent="0.35">
      <c r="S404" s="1"/>
    </row>
    <row r="405" spans="19:19" x14ac:dyDescent="0.35">
      <c r="S405" s="1"/>
    </row>
    <row r="406" spans="19:19" x14ac:dyDescent="0.35">
      <c r="S406" s="1"/>
    </row>
    <row r="407" spans="19:19" x14ac:dyDescent="0.35">
      <c r="S407" s="1"/>
    </row>
    <row r="408" spans="19:19" x14ac:dyDescent="0.35">
      <c r="S408" s="1"/>
    </row>
    <row r="409" spans="19:19" x14ac:dyDescent="0.35">
      <c r="S409" s="1"/>
    </row>
    <row r="410" spans="19:19" x14ac:dyDescent="0.35">
      <c r="S410" s="1"/>
    </row>
    <row r="411" spans="19:19" x14ac:dyDescent="0.35">
      <c r="S411" s="1"/>
    </row>
    <row r="412" spans="19:19" x14ac:dyDescent="0.35">
      <c r="S412" s="1"/>
    </row>
    <row r="413" spans="19:19" x14ac:dyDescent="0.35">
      <c r="S413" s="1"/>
    </row>
    <row r="414" spans="19:19" x14ac:dyDescent="0.35">
      <c r="S414" s="1"/>
    </row>
    <row r="415" spans="19:19" x14ac:dyDescent="0.35">
      <c r="S415" s="1"/>
    </row>
    <row r="416" spans="19:19" x14ac:dyDescent="0.35">
      <c r="S416" s="1"/>
    </row>
    <row r="417" spans="19:19" x14ac:dyDescent="0.35">
      <c r="S417" s="1"/>
    </row>
    <row r="418" spans="19:19" x14ac:dyDescent="0.35">
      <c r="S418" s="1"/>
    </row>
    <row r="419" spans="19:19" x14ac:dyDescent="0.35">
      <c r="S419" s="1"/>
    </row>
    <row r="420" spans="19:19" x14ac:dyDescent="0.35">
      <c r="S420" s="1"/>
    </row>
    <row r="421" spans="19:19" x14ac:dyDescent="0.35">
      <c r="S421" s="1"/>
    </row>
    <row r="422" spans="19:19" x14ac:dyDescent="0.35">
      <c r="S422" s="1"/>
    </row>
    <row r="423" spans="19:19" x14ac:dyDescent="0.35">
      <c r="S423" s="1"/>
    </row>
    <row r="424" spans="19:19" x14ac:dyDescent="0.35">
      <c r="S424" s="1"/>
    </row>
    <row r="425" spans="19:19" x14ac:dyDescent="0.35">
      <c r="S425" s="1"/>
    </row>
    <row r="426" spans="19:19" x14ac:dyDescent="0.35">
      <c r="S426" s="1"/>
    </row>
    <row r="427" spans="19:19" x14ac:dyDescent="0.35">
      <c r="S427" s="1"/>
    </row>
    <row r="428" spans="19:19" x14ac:dyDescent="0.35">
      <c r="S428" s="1"/>
    </row>
    <row r="429" spans="19:19" x14ac:dyDescent="0.35">
      <c r="S429" s="1"/>
    </row>
    <row r="430" spans="19:19" x14ac:dyDescent="0.35">
      <c r="S430" s="1"/>
    </row>
    <row r="431" spans="19:19" x14ac:dyDescent="0.35">
      <c r="S431" s="1"/>
    </row>
    <row r="432" spans="19:19" x14ac:dyDescent="0.35">
      <c r="S432" s="1"/>
    </row>
    <row r="433" spans="19:19" x14ac:dyDescent="0.35">
      <c r="S433" s="1"/>
    </row>
    <row r="434" spans="19:19" x14ac:dyDescent="0.35">
      <c r="S434" s="1"/>
    </row>
    <row r="435" spans="19:19" x14ac:dyDescent="0.35">
      <c r="S435" s="1"/>
    </row>
    <row r="436" spans="19:19" x14ac:dyDescent="0.35">
      <c r="S436" s="1"/>
    </row>
    <row r="437" spans="19:19" x14ac:dyDescent="0.35">
      <c r="S437" s="1"/>
    </row>
    <row r="438" spans="19:19" x14ac:dyDescent="0.35">
      <c r="S438" s="1"/>
    </row>
    <row r="439" spans="19:19" x14ac:dyDescent="0.35">
      <c r="S439" s="1"/>
    </row>
    <row r="440" spans="19:19" x14ac:dyDescent="0.35">
      <c r="S440" s="1"/>
    </row>
    <row r="441" spans="19:19" x14ac:dyDescent="0.35">
      <c r="S441" s="1"/>
    </row>
    <row r="442" spans="19:19" x14ac:dyDescent="0.35">
      <c r="S442" s="1"/>
    </row>
    <row r="443" spans="19:19" x14ac:dyDescent="0.35">
      <c r="S443" s="1"/>
    </row>
    <row r="444" spans="19:19" x14ac:dyDescent="0.35">
      <c r="S444" s="1"/>
    </row>
    <row r="445" spans="19:19" x14ac:dyDescent="0.35">
      <c r="S445" s="1"/>
    </row>
    <row r="446" spans="19:19" x14ac:dyDescent="0.35">
      <c r="S446" s="1"/>
    </row>
    <row r="447" spans="19:19" x14ac:dyDescent="0.35">
      <c r="S447" s="1"/>
    </row>
    <row r="448" spans="19:19" x14ac:dyDescent="0.35">
      <c r="S448" s="1"/>
    </row>
    <row r="449" spans="19:19" x14ac:dyDescent="0.35">
      <c r="S449" s="1"/>
    </row>
    <row r="450" spans="19:19" x14ac:dyDescent="0.35">
      <c r="S450" s="1"/>
    </row>
    <row r="451" spans="19:19" x14ac:dyDescent="0.35">
      <c r="S451" s="1"/>
    </row>
    <row r="452" spans="19:19" x14ac:dyDescent="0.35">
      <c r="S452" s="1"/>
    </row>
    <row r="453" spans="19:19" x14ac:dyDescent="0.35">
      <c r="S453" s="1"/>
    </row>
    <row r="454" spans="19:19" x14ac:dyDescent="0.35">
      <c r="S454" s="1"/>
    </row>
    <row r="455" spans="19:19" x14ac:dyDescent="0.35">
      <c r="S455" s="1"/>
    </row>
    <row r="456" spans="19:19" x14ac:dyDescent="0.35">
      <c r="S456" s="1"/>
    </row>
    <row r="457" spans="19:19" x14ac:dyDescent="0.35">
      <c r="S457" s="1"/>
    </row>
    <row r="458" spans="19:19" x14ac:dyDescent="0.35">
      <c r="S458" s="1"/>
    </row>
    <row r="459" spans="19:19" x14ac:dyDescent="0.35">
      <c r="S459" s="1"/>
    </row>
    <row r="460" spans="19:19" x14ac:dyDescent="0.35">
      <c r="S460" s="1"/>
    </row>
    <row r="461" spans="19:19" x14ac:dyDescent="0.35">
      <c r="S461" s="1"/>
    </row>
    <row r="462" spans="19:19" x14ac:dyDescent="0.35">
      <c r="S462" s="1"/>
    </row>
    <row r="463" spans="19:19" x14ac:dyDescent="0.35">
      <c r="S463" s="1"/>
    </row>
    <row r="464" spans="19:19" x14ac:dyDescent="0.35">
      <c r="S464" s="1"/>
    </row>
    <row r="465" spans="19:19" x14ac:dyDescent="0.35">
      <c r="S465" s="1"/>
    </row>
    <row r="466" spans="19:19" x14ac:dyDescent="0.35">
      <c r="S466" s="1"/>
    </row>
    <row r="467" spans="19:19" x14ac:dyDescent="0.35">
      <c r="S467" s="1"/>
    </row>
    <row r="468" spans="19:19" x14ac:dyDescent="0.35">
      <c r="S468" s="1"/>
    </row>
    <row r="469" spans="19:19" x14ac:dyDescent="0.35">
      <c r="S469" s="1"/>
    </row>
    <row r="470" spans="19:19" x14ac:dyDescent="0.35">
      <c r="S470" s="1"/>
    </row>
    <row r="471" spans="19:19" x14ac:dyDescent="0.35">
      <c r="S471" s="1"/>
    </row>
    <row r="472" spans="19:19" x14ac:dyDescent="0.35">
      <c r="S472" s="1"/>
    </row>
    <row r="473" spans="19:19" x14ac:dyDescent="0.35">
      <c r="S473" s="1"/>
    </row>
    <row r="474" spans="19:19" x14ac:dyDescent="0.35">
      <c r="S474" s="1"/>
    </row>
    <row r="475" spans="19:19" x14ac:dyDescent="0.35">
      <c r="S475" s="1"/>
    </row>
    <row r="476" spans="19:19" x14ac:dyDescent="0.35">
      <c r="S476" s="1"/>
    </row>
    <row r="477" spans="19:19" x14ac:dyDescent="0.35">
      <c r="S477" s="1"/>
    </row>
    <row r="478" spans="19:19" x14ac:dyDescent="0.35">
      <c r="S478" s="1"/>
    </row>
    <row r="479" spans="19:19" x14ac:dyDescent="0.35">
      <c r="S479" s="1"/>
    </row>
    <row r="480" spans="19:19" x14ac:dyDescent="0.35">
      <c r="S480" s="1"/>
    </row>
    <row r="481" spans="19:19" x14ac:dyDescent="0.35">
      <c r="S481" s="1"/>
    </row>
    <row r="482" spans="19:19" x14ac:dyDescent="0.35">
      <c r="S482" s="1"/>
    </row>
    <row r="483" spans="19:19" x14ac:dyDescent="0.35">
      <c r="S483" s="1"/>
    </row>
    <row r="484" spans="19:19" x14ac:dyDescent="0.35">
      <c r="S484" s="1"/>
    </row>
    <row r="485" spans="19:19" x14ac:dyDescent="0.35">
      <c r="S485" s="1"/>
    </row>
    <row r="486" spans="19:19" x14ac:dyDescent="0.35">
      <c r="S486" s="1"/>
    </row>
    <row r="487" spans="19:19" x14ac:dyDescent="0.35">
      <c r="S487" s="1"/>
    </row>
    <row r="488" spans="19:19" x14ac:dyDescent="0.35">
      <c r="S488" s="1"/>
    </row>
    <row r="489" spans="19:19" x14ac:dyDescent="0.35">
      <c r="S489" s="1"/>
    </row>
    <row r="490" spans="19:19" x14ac:dyDescent="0.35">
      <c r="S490" s="1"/>
    </row>
    <row r="491" spans="19:19" x14ac:dyDescent="0.35">
      <c r="S491" s="1"/>
    </row>
    <row r="492" spans="19:19" x14ac:dyDescent="0.35">
      <c r="S492" s="1"/>
    </row>
    <row r="493" spans="19:19" x14ac:dyDescent="0.35">
      <c r="S493" s="1"/>
    </row>
    <row r="494" spans="19:19" x14ac:dyDescent="0.35">
      <c r="S494" s="1"/>
    </row>
    <row r="495" spans="19:19" x14ac:dyDescent="0.35">
      <c r="S495" s="1"/>
    </row>
    <row r="496" spans="19:19" x14ac:dyDescent="0.35">
      <c r="S496" s="1"/>
    </row>
    <row r="497" spans="19:19" x14ac:dyDescent="0.35">
      <c r="S497" s="1"/>
    </row>
    <row r="498" spans="19:19" x14ac:dyDescent="0.35">
      <c r="S498" s="1"/>
    </row>
    <row r="499" spans="19:19" x14ac:dyDescent="0.35">
      <c r="S499" s="1"/>
    </row>
    <row r="500" spans="19:19" x14ac:dyDescent="0.35">
      <c r="S500" s="1"/>
    </row>
    <row r="501" spans="19:19" x14ac:dyDescent="0.35">
      <c r="S501" s="1"/>
    </row>
    <row r="502" spans="19:19" x14ac:dyDescent="0.35">
      <c r="S502" s="1"/>
    </row>
    <row r="503" spans="19:19" x14ac:dyDescent="0.35">
      <c r="S503" s="1"/>
    </row>
    <row r="504" spans="19:19" x14ac:dyDescent="0.35">
      <c r="S504" s="1"/>
    </row>
    <row r="505" spans="19:19" x14ac:dyDescent="0.35">
      <c r="S505" s="1"/>
    </row>
    <row r="506" spans="19:19" x14ac:dyDescent="0.35">
      <c r="S506" s="1"/>
    </row>
    <row r="507" spans="19:19" x14ac:dyDescent="0.35">
      <c r="S507" s="1"/>
    </row>
    <row r="508" spans="19:19" x14ac:dyDescent="0.35">
      <c r="S508" s="1"/>
    </row>
    <row r="509" spans="19:19" x14ac:dyDescent="0.35">
      <c r="S509" s="1"/>
    </row>
    <row r="510" spans="19:19" x14ac:dyDescent="0.35">
      <c r="S510" s="1"/>
    </row>
    <row r="511" spans="19:19" x14ac:dyDescent="0.35">
      <c r="S511" s="1"/>
    </row>
    <row r="512" spans="19:19" x14ac:dyDescent="0.35">
      <c r="S512" s="1"/>
    </row>
    <row r="513" spans="19:19" x14ac:dyDescent="0.35">
      <c r="S513" s="1"/>
    </row>
    <row r="514" spans="19:19" x14ac:dyDescent="0.35">
      <c r="S514" s="1"/>
    </row>
    <row r="515" spans="19:19" x14ac:dyDescent="0.35">
      <c r="S515" s="1"/>
    </row>
    <row r="516" spans="19:19" x14ac:dyDescent="0.35">
      <c r="S516" s="1"/>
    </row>
    <row r="517" spans="19:19" x14ac:dyDescent="0.35">
      <c r="S517" s="1"/>
    </row>
    <row r="518" spans="19:19" x14ac:dyDescent="0.35">
      <c r="S518" s="1"/>
    </row>
    <row r="519" spans="19:19" x14ac:dyDescent="0.35">
      <c r="S519" s="1"/>
    </row>
    <row r="520" spans="19:19" x14ac:dyDescent="0.35">
      <c r="S520" s="1"/>
    </row>
    <row r="521" spans="19:19" x14ac:dyDescent="0.35">
      <c r="S521" s="1"/>
    </row>
    <row r="522" spans="19:19" x14ac:dyDescent="0.35">
      <c r="S522" s="1"/>
    </row>
    <row r="523" spans="19:19" x14ac:dyDescent="0.35">
      <c r="S523" s="1"/>
    </row>
    <row r="524" spans="19:19" x14ac:dyDescent="0.35">
      <c r="S524" s="1"/>
    </row>
    <row r="525" spans="19:19" x14ac:dyDescent="0.35">
      <c r="S525" s="1"/>
    </row>
    <row r="526" spans="19:19" x14ac:dyDescent="0.35">
      <c r="S526" s="1"/>
    </row>
    <row r="527" spans="19:19" x14ac:dyDescent="0.35">
      <c r="S527" s="1"/>
    </row>
    <row r="528" spans="19:19" x14ac:dyDescent="0.35">
      <c r="S528" s="1"/>
    </row>
    <row r="529" spans="19:19" x14ac:dyDescent="0.35">
      <c r="S529" s="1"/>
    </row>
    <row r="530" spans="19:19" x14ac:dyDescent="0.35">
      <c r="S530" s="1"/>
    </row>
    <row r="531" spans="19:19" x14ac:dyDescent="0.35">
      <c r="S531" s="1"/>
    </row>
    <row r="532" spans="19:19" x14ac:dyDescent="0.35">
      <c r="S532" s="1"/>
    </row>
    <row r="533" spans="19:19" x14ac:dyDescent="0.35">
      <c r="S533" s="1"/>
    </row>
    <row r="534" spans="19:19" x14ac:dyDescent="0.35">
      <c r="S534" s="1"/>
    </row>
    <row r="535" spans="19:19" x14ac:dyDescent="0.35">
      <c r="S535" s="1"/>
    </row>
    <row r="536" spans="19:19" x14ac:dyDescent="0.35">
      <c r="S536" s="1"/>
    </row>
    <row r="537" spans="19:19" x14ac:dyDescent="0.35">
      <c r="S537" s="1"/>
    </row>
    <row r="538" spans="19:19" x14ac:dyDescent="0.35">
      <c r="S538" s="1"/>
    </row>
    <row r="539" spans="19:19" x14ac:dyDescent="0.35">
      <c r="S539" s="1"/>
    </row>
    <row r="540" spans="19:19" x14ac:dyDescent="0.35">
      <c r="S540" s="1"/>
    </row>
    <row r="541" spans="19:19" x14ac:dyDescent="0.35">
      <c r="S541" s="1"/>
    </row>
    <row r="542" spans="19:19" x14ac:dyDescent="0.35">
      <c r="S542" s="1"/>
    </row>
    <row r="543" spans="19:19" x14ac:dyDescent="0.35">
      <c r="S543" s="1"/>
    </row>
    <row r="544" spans="19:19" x14ac:dyDescent="0.35">
      <c r="S544" s="1"/>
    </row>
    <row r="545" spans="19:19" x14ac:dyDescent="0.35">
      <c r="S545" s="1"/>
    </row>
    <row r="546" spans="19:19" x14ac:dyDescent="0.35">
      <c r="S546" s="1"/>
    </row>
    <row r="547" spans="19:19" x14ac:dyDescent="0.35">
      <c r="S547" s="1"/>
    </row>
    <row r="548" spans="19:19" x14ac:dyDescent="0.35">
      <c r="S548" s="1"/>
    </row>
    <row r="549" spans="19:19" x14ac:dyDescent="0.35">
      <c r="S549" s="1"/>
    </row>
    <row r="550" spans="19:19" x14ac:dyDescent="0.35">
      <c r="S550" s="1"/>
    </row>
    <row r="551" spans="19:19" x14ac:dyDescent="0.35">
      <c r="S551" s="1"/>
    </row>
    <row r="552" spans="19:19" x14ac:dyDescent="0.35">
      <c r="S552" s="1"/>
    </row>
    <row r="553" spans="19:19" x14ac:dyDescent="0.35">
      <c r="S553" s="1"/>
    </row>
    <row r="554" spans="19:19" x14ac:dyDescent="0.35">
      <c r="S554" s="1"/>
    </row>
    <row r="555" spans="19:19" x14ac:dyDescent="0.35">
      <c r="S555" s="1"/>
    </row>
    <row r="556" spans="19:19" x14ac:dyDescent="0.35">
      <c r="S556" s="1"/>
    </row>
    <row r="557" spans="19:19" x14ac:dyDescent="0.35">
      <c r="S557" s="1"/>
    </row>
    <row r="558" spans="19:19" x14ac:dyDescent="0.35">
      <c r="S558" s="1"/>
    </row>
    <row r="559" spans="19:19" x14ac:dyDescent="0.35">
      <c r="S559" s="1"/>
    </row>
    <row r="560" spans="19:19" x14ac:dyDescent="0.35">
      <c r="S560" s="1"/>
    </row>
    <row r="561" spans="19:19" x14ac:dyDescent="0.35">
      <c r="S561" s="1"/>
    </row>
    <row r="562" spans="19:19" x14ac:dyDescent="0.35">
      <c r="S562" s="1"/>
    </row>
    <row r="563" spans="19:19" x14ac:dyDescent="0.35">
      <c r="S563" s="1"/>
    </row>
    <row r="564" spans="19:19" x14ac:dyDescent="0.35">
      <c r="S564" s="1"/>
    </row>
    <row r="565" spans="19:19" x14ac:dyDescent="0.35">
      <c r="S565" s="1"/>
    </row>
    <row r="566" spans="19:19" x14ac:dyDescent="0.35">
      <c r="S566" s="1"/>
    </row>
    <row r="567" spans="19:19" x14ac:dyDescent="0.35">
      <c r="S567" s="1"/>
    </row>
    <row r="568" spans="19:19" x14ac:dyDescent="0.35">
      <c r="S568" s="1"/>
    </row>
    <row r="569" spans="19:19" x14ac:dyDescent="0.35">
      <c r="S569" s="1"/>
    </row>
    <row r="570" spans="19:19" x14ac:dyDescent="0.35">
      <c r="S570" s="1"/>
    </row>
    <row r="571" spans="19:19" x14ac:dyDescent="0.35">
      <c r="S571" s="1"/>
    </row>
    <row r="572" spans="19:19" x14ac:dyDescent="0.35">
      <c r="S572" s="1"/>
    </row>
    <row r="573" spans="19:19" x14ac:dyDescent="0.35">
      <c r="S573" s="1"/>
    </row>
    <row r="574" spans="19:19" x14ac:dyDescent="0.35">
      <c r="S574" s="1"/>
    </row>
    <row r="575" spans="19:19" x14ac:dyDescent="0.35">
      <c r="S575" s="1"/>
    </row>
    <row r="576" spans="19:19" x14ac:dyDescent="0.35">
      <c r="S576" s="1"/>
    </row>
    <row r="577" spans="19:19" x14ac:dyDescent="0.35">
      <c r="S577" s="1"/>
    </row>
    <row r="578" spans="19:19" x14ac:dyDescent="0.35">
      <c r="S578" s="1"/>
    </row>
    <row r="579" spans="19:19" x14ac:dyDescent="0.35">
      <c r="S579" s="1"/>
    </row>
    <row r="580" spans="19:19" x14ac:dyDescent="0.35">
      <c r="S580" s="1"/>
    </row>
    <row r="581" spans="19:19" x14ac:dyDescent="0.35">
      <c r="S581" s="1"/>
    </row>
    <row r="582" spans="19:19" x14ac:dyDescent="0.35">
      <c r="S582" s="1"/>
    </row>
    <row r="583" spans="19:19" x14ac:dyDescent="0.35">
      <c r="S583" s="1"/>
    </row>
    <row r="584" spans="19:19" x14ac:dyDescent="0.35">
      <c r="S584" s="1"/>
    </row>
    <row r="585" spans="19:19" x14ac:dyDescent="0.35">
      <c r="S585" s="1"/>
    </row>
    <row r="586" spans="19:19" x14ac:dyDescent="0.35">
      <c r="S586" s="1"/>
    </row>
    <row r="587" spans="19:19" x14ac:dyDescent="0.35">
      <c r="S587" s="1"/>
    </row>
    <row r="588" spans="19:19" x14ac:dyDescent="0.35">
      <c r="S588" s="1"/>
    </row>
    <row r="589" spans="19:19" x14ac:dyDescent="0.35">
      <c r="S589" s="1"/>
    </row>
    <row r="590" spans="19:19" x14ac:dyDescent="0.35">
      <c r="S590" s="1"/>
    </row>
    <row r="591" spans="19:19" x14ac:dyDescent="0.35">
      <c r="S591" s="1"/>
    </row>
    <row r="592" spans="19:19" x14ac:dyDescent="0.35">
      <c r="S592" s="1"/>
    </row>
    <row r="593" spans="19:19" x14ac:dyDescent="0.35">
      <c r="S593" s="1"/>
    </row>
    <row r="594" spans="19:19" x14ac:dyDescent="0.35">
      <c r="S594" s="1"/>
    </row>
    <row r="595" spans="19:19" x14ac:dyDescent="0.35">
      <c r="S595" s="1"/>
    </row>
    <row r="596" spans="19:19" x14ac:dyDescent="0.35">
      <c r="S596" s="1"/>
    </row>
    <row r="597" spans="19:19" x14ac:dyDescent="0.35">
      <c r="S597" s="1"/>
    </row>
    <row r="598" spans="19:19" x14ac:dyDescent="0.35">
      <c r="S598" s="1"/>
    </row>
    <row r="599" spans="19:19" x14ac:dyDescent="0.35">
      <c r="S599" s="1"/>
    </row>
    <row r="600" spans="19:19" x14ac:dyDescent="0.35">
      <c r="S600" s="1"/>
    </row>
    <row r="601" spans="19:19" x14ac:dyDescent="0.35">
      <c r="S601" s="1"/>
    </row>
    <row r="602" spans="19:19" x14ac:dyDescent="0.35">
      <c r="S602" s="1"/>
    </row>
    <row r="603" spans="19:19" x14ac:dyDescent="0.35">
      <c r="S603" s="1"/>
    </row>
    <row r="604" spans="19:19" x14ac:dyDescent="0.35">
      <c r="S604" s="1"/>
    </row>
    <row r="605" spans="19:19" x14ac:dyDescent="0.35">
      <c r="S605" s="1"/>
    </row>
    <row r="606" spans="19:19" x14ac:dyDescent="0.35">
      <c r="S606" s="1"/>
    </row>
    <row r="607" spans="19:19" x14ac:dyDescent="0.35">
      <c r="S607" s="1"/>
    </row>
    <row r="608" spans="19:19" x14ac:dyDescent="0.35">
      <c r="S608" s="1"/>
    </row>
    <row r="609" spans="19:19" x14ac:dyDescent="0.35">
      <c r="S609" s="1"/>
    </row>
    <row r="610" spans="19:19" x14ac:dyDescent="0.35">
      <c r="S610" s="1"/>
    </row>
    <row r="611" spans="19:19" x14ac:dyDescent="0.35">
      <c r="S611" s="1"/>
    </row>
    <row r="612" spans="19:19" x14ac:dyDescent="0.35">
      <c r="S612" s="1"/>
    </row>
    <row r="613" spans="19:19" x14ac:dyDescent="0.35">
      <c r="S613" s="1"/>
    </row>
    <row r="614" spans="19:19" x14ac:dyDescent="0.35">
      <c r="S614" s="1"/>
    </row>
    <row r="615" spans="19:19" x14ac:dyDescent="0.35">
      <c r="S615" s="1"/>
    </row>
    <row r="616" spans="19:19" x14ac:dyDescent="0.35">
      <c r="S616" s="1"/>
    </row>
    <row r="617" spans="19:19" x14ac:dyDescent="0.35">
      <c r="S617" s="1"/>
    </row>
    <row r="618" spans="19:19" x14ac:dyDescent="0.35">
      <c r="S618" s="1"/>
    </row>
    <row r="619" spans="19:19" x14ac:dyDescent="0.35">
      <c r="S619" s="1"/>
    </row>
    <row r="620" spans="19:19" x14ac:dyDescent="0.35">
      <c r="S620" s="1"/>
    </row>
    <row r="621" spans="19:19" x14ac:dyDescent="0.35">
      <c r="S621" s="1"/>
    </row>
    <row r="622" spans="19:19" x14ac:dyDescent="0.35">
      <c r="S622" s="1"/>
    </row>
    <row r="623" spans="19:19" x14ac:dyDescent="0.35">
      <c r="S623" s="1"/>
    </row>
    <row r="624" spans="19:19" x14ac:dyDescent="0.35">
      <c r="S624" s="1"/>
    </row>
    <row r="625" spans="19:19" x14ac:dyDescent="0.35">
      <c r="S625" s="1"/>
    </row>
    <row r="626" spans="19:19" x14ac:dyDescent="0.35">
      <c r="S626" s="1"/>
    </row>
    <row r="627" spans="19:19" x14ac:dyDescent="0.35">
      <c r="S627" s="1"/>
    </row>
    <row r="628" spans="19:19" x14ac:dyDescent="0.35">
      <c r="S628" s="1"/>
    </row>
    <row r="629" spans="19:19" x14ac:dyDescent="0.35">
      <c r="S629" s="1"/>
    </row>
    <row r="630" spans="19:19" x14ac:dyDescent="0.35">
      <c r="S630" s="1"/>
    </row>
    <row r="631" spans="19:19" x14ac:dyDescent="0.35">
      <c r="S631" s="1"/>
    </row>
    <row r="632" spans="19:19" x14ac:dyDescent="0.35">
      <c r="S6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GA</vt:lpstr>
      <vt:lpstr>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2025-12-30T21:33:41Z</dcterms:created>
  <dcterms:modified xsi:type="dcterms:W3CDTF">2025-12-30T22:31:52Z</dcterms:modified>
</cp:coreProperties>
</file>